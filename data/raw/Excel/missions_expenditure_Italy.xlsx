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valeriovignoli/Desktop/dataset and scripts/articolo_IP/"/>
    </mc:Choice>
  </mc:AlternateContent>
  <xr:revisionPtr revIDLastSave="0" documentId="13_ncr:1_{66FF7C48-72CE-924A-BCB1-620D3502434F}" xr6:coauthVersionLast="47" xr6:coauthVersionMax="47" xr10:uidLastSave="{00000000-0000-0000-0000-000000000000}"/>
  <bookViews>
    <workbookView xWindow="480" yWindow="960" windowWidth="25120" windowHeight="14100" xr2:uid="{23EFA158-26C4-A243-A2ED-96AF522B4254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4" i="1" l="1"/>
  <c r="F34" i="1"/>
  <c r="E33" i="1"/>
  <c r="F33" i="1"/>
  <c r="F2" i="1" l="1"/>
  <c r="E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E4" i="1"/>
  <c r="E32" i="1"/>
  <c r="F32" i="1" s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tc={D391F121-3220-B144-85CB-626D0C237525}</author>
  </authors>
  <commentList>
    <comment ref="D1" authorId="0" shapeId="0" xr:uid="{D391F121-3220-B144-85CB-626D0C237525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source: SIPRI</t>
      </text>
    </comment>
  </commentList>
</comments>
</file>

<file path=xl/sharedStrings.xml><?xml version="1.0" encoding="utf-8"?>
<sst xmlns="http://schemas.openxmlformats.org/spreadsheetml/2006/main" count="6" uniqueCount="6">
  <si>
    <t>defence_spending_nominal</t>
  </si>
  <si>
    <t>mission_nominal</t>
  </si>
  <si>
    <t>mission_real</t>
  </si>
  <si>
    <t>ratio_mission_value</t>
  </si>
  <si>
    <t>ratio_mission_value_100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</si>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</sst>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Valerio Vignoli" id="{24104F79-4428-894F-B6D6-EDC7E1213BA5}" userId="Valerio Vignoli" providerId="None"/>
</personList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1" dT="2022-02-18T09:52:41.77" personId="{24104F79-4428-894F-B6D6-EDC7E1213BA5}" id="{D391F121-3220-B144-85CB-626D0C237525}">
    <text>source: SIPRI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0D588B-FF61-5C4C-8255-BB57D5D57922}">
  <dimension ref="A1:F34"/>
  <sheetViews>
    <sheetView tabSelected="1" topLeftCell="A10" workbookViewId="0">
      <selection activeCell="H33" sqref="H33"/>
    </sheetView>
  </sheetViews>
  <sheetFormatPr baseColWidth="10" defaultRowHeight="16" x14ac:dyDescent="0.2"/>
  <cols>
    <col min="2" max="2" width="17" customWidth="1"/>
    <col min="4" max="4" width="28.1640625" customWidth="1"/>
    <col min="5" max="5" width="18.33203125" customWidth="1"/>
    <col min="6" max="6" width="28.1640625" customWidth="1"/>
  </cols>
  <sheetData>
    <row r="1" spans="1:6" x14ac:dyDescent="0.2">
      <c r="A1" t="s">
        <v>5</v>
      </c>
      <c r="B1" t="s">
        <v>1</v>
      </c>
      <c r="C1" t="s">
        <v>2</v>
      </c>
      <c r="D1" t="s">
        <v>0</v>
      </c>
      <c r="E1" t="s">
        <v>3</v>
      </c>
      <c r="F1" t="s">
        <v>4</v>
      </c>
    </row>
    <row r="2" spans="1:6" x14ac:dyDescent="0.2">
      <c r="A2">
        <v>1990</v>
      </c>
      <c r="B2">
        <v>26</v>
      </c>
      <c r="C2">
        <v>45</v>
      </c>
      <c r="D2">
        <v>12830</v>
      </c>
      <c r="E2">
        <f>B2/D2</f>
        <v>2.0265003897116133E-3</v>
      </c>
      <c r="F2">
        <f>E2*100</f>
        <v>0.20265003897116132</v>
      </c>
    </row>
    <row r="3" spans="1:6" x14ac:dyDescent="0.2">
      <c r="A3">
        <v>1991</v>
      </c>
      <c r="B3">
        <v>312</v>
      </c>
      <c r="C3">
        <v>514</v>
      </c>
      <c r="D3">
        <v>13830</v>
      </c>
      <c r="E3">
        <f t="shared" ref="E3:E34" si="0">B3/D3</f>
        <v>2.2559652928416486E-2</v>
      </c>
      <c r="F3">
        <f t="shared" ref="F3:F34" si="1">E3*100</f>
        <v>2.2559652928416485</v>
      </c>
    </row>
    <row r="4" spans="1:6" x14ac:dyDescent="0.2">
      <c r="A4">
        <v>1992</v>
      </c>
      <c r="B4">
        <v>16</v>
      </c>
      <c r="C4">
        <v>25</v>
      </c>
      <c r="D4">
        <v>14115</v>
      </c>
      <c r="E4">
        <f>B4/D4</f>
        <v>1.1335458731845554E-3</v>
      </c>
      <c r="F4">
        <f t="shared" si="1"/>
        <v>0.11335458731845553</v>
      </c>
    </row>
    <row r="5" spans="1:6" x14ac:dyDescent="0.2">
      <c r="A5">
        <v>1993</v>
      </c>
      <c r="B5">
        <v>108</v>
      </c>
      <c r="C5">
        <v>162</v>
      </c>
      <c r="D5">
        <v>14826</v>
      </c>
      <c r="E5">
        <f t="shared" si="0"/>
        <v>7.2845002023472277E-3</v>
      </c>
      <c r="F5">
        <f t="shared" si="1"/>
        <v>0.72845002023472272</v>
      </c>
    </row>
    <row r="6" spans="1:6" x14ac:dyDescent="0.2">
      <c r="A6">
        <v>1994</v>
      </c>
      <c r="B6">
        <v>164</v>
      </c>
      <c r="C6">
        <v>237</v>
      </c>
      <c r="D6">
        <v>15042</v>
      </c>
      <c r="E6">
        <f t="shared" si="0"/>
        <v>1.0902805477994947E-2</v>
      </c>
      <c r="F6">
        <f t="shared" si="1"/>
        <v>1.0902805477994948</v>
      </c>
    </row>
    <row r="7" spans="1:6" x14ac:dyDescent="0.2">
      <c r="A7">
        <v>1995</v>
      </c>
      <c r="B7">
        <v>51</v>
      </c>
      <c r="C7">
        <v>70</v>
      </c>
      <c r="D7">
        <v>14458</v>
      </c>
      <c r="E7">
        <f t="shared" si="0"/>
        <v>3.5274588463134597E-3</v>
      </c>
      <c r="F7">
        <f t="shared" si="1"/>
        <v>0.35274588463134599</v>
      </c>
    </row>
    <row r="8" spans="1:6" x14ac:dyDescent="0.2">
      <c r="A8">
        <v>1996</v>
      </c>
      <c r="B8">
        <v>141</v>
      </c>
      <c r="C8">
        <v>186</v>
      </c>
      <c r="D8">
        <v>16569</v>
      </c>
      <c r="E8">
        <f t="shared" si="0"/>
        <v>8.5098678254571791E-3</v>
      </c>
      <c r="F8">
        <f t="shared" si="1"/>
        <v>0.85098678254571791</v>
      </c>
    </row>
    <row r="9" spans="1:6" x14ac:dyDescent="0.2">
      <c r="A9">
        <v>1997</v>
      </c>
      <c r="B9">
        <v>153</v>
      </c>
      <c r="C9">
        <v>198</v>
      </c>
      <c r="D9">
        <v>17759</v>
      </c>
      <c r="E9">
        <f t="shared" si="0"/>
        <v>8.6153499633988394E-3</v>
      </c>
      <c r="F9">
        <f t="shared" si="1"/>
        <v>0.86153499633988395</v>
      </c>
    </row>
    <row r="10" spans="1:6" x14ac:dyDescent="0.2">
      <c r="A10">
        <v>1998</v>
      </c>
      <c r="B10">
        <v>99</v>
      </c>
      <c r="C10">
        <v>126</v>
      </c>
      <c r="D10">
        <v>18673</v>
      </c>
      <c r="E10">
        <f t="shared" si="0"/>
        <v>5.3017726128634923E-3</v>
      </c>
      <c r="F10">
        <f t="shared" si="1"/>
        <v>0.53017726128634923</v>
      </c>
    </row>
    <row r="11" spans="1:6" x14ac:dyDescent="0.2">
      <c r="A11">
        <v>1999</v>
      </c>
      <c r="B11">
        <v>418</v>
      </c>
      <c r="C11">
        <v>523</v>
      </c>
      <c r="D11">
        <v>19727</v>
      </c>
      <c r="E11">
        <f t="shared" si="0"/>
        <v>2.1189233030871394E-2</v>
      </c>
      <c r="F11">
        <f t="shared" si="1"/>
        <v>2.1189233030871395</v>
      </c>
    </row>
    <row r="12" spans="1:6" x14ac:dyDescent="0.2">
      <c r="A12">
        <v>2000</v>
      </c>
      <c r="B12">
        <v>563</v>
      </c>
      <c r="C12">
        <v>688</v>
      </c>
      <c r="D12">
        <v>21576</v>
      </c>
      <c r="E12">
        <f t="shared" si="0"/>
        <v>2.6093807934742308E-2</v>
      </c>
      <c r="F12">
        <f t="shared" si="1"/>
        <v>2.609380793474231</v>
      </c>
    </row>
    <row r="13" spans="1:6" x14ac:dyDescent="0.2">
      <c r="A13">
        <v>2001</v>
      </c>
      <c r="B13">
        <v>652</v>
      </c>
      <c r="C13">
        <v>776</v>
      </c>
      <c r="D13">
        <v>21813</v>
      </c>
      <c r="E13">
        <f t="shared" si="0"/>
        <v>2.9890432311007197E-2</v>
      </c>
      <c r="F13">
        <f t="shared" si="1"/>
        <v>2.9890432311007196</v>
      </c>
    </row>
    <row r="14" spans="1:6" x14ac:dyDescent="0.2">
      <c r="A14">
        <v>2002</v>
      </c>
      <c r="B14">
        <v>913</v>
      </c>
      <c r="C14">
        <v>1061</v>
      </c>
      <c r="D14">
        <v>22962</v>
      </c>
      <c r="E14">
        <f t="shared" si="0"/>
        <v>3.9761344830589671E-2</v>
      </c>
      <c r="F14">
        <f t="shared" si="1"/>
        <v>3.9761344830589671</v>
      </c>
    </row>
    <row r="15" spans="1:6" x14ac:dyDescent="0.2">
      <c r="A15">
        <v>2003</v>
      </c>
      <c r="B15">
        <v>1003</v>
      </c>
      <c r="C15">
        <v>1137</v>
      </c>
      <c r="D15">
        <v>23767</v>
      </c>
      <c r="E15">
        <f t="shared" si="0"/>
        <v>4.2201371649766485E-2</v>
      </c>
      <c r="F15">
        <f t="shared" si="1"/>
        <v>4.2201371649766486</v>
      </c>
    </row>
    <row r="16" spans="1:6" x14ac:dyDescent="0.2">
      <c r="A16">
        <v>2004</v>
      </c>
      <c r="B16">
        <v>1114</v>
      </c>
      <c r="C16">
        <v>1291</v>
      </c>
      <c r="D16">
        <v>24371</v>
      </c>
      <c r="E16">
        <f t="shared" si="0"/>
        <v>4.5710065241475521E-2</v>
      </c>
      <c r="F16">
        <f t="shared" si="1"/>
        <v>4.5710065241475517</v>
      </c>
    </row>
    <row r="17" spans="1:6" x14ac:dyDescent="0.2">
      <c r="A17">
        <v>2005</v>
      </c>
      <c r="B17">
        <v>1143</v>
      </c>
      <c r="C17">
        <v>1307</v>
      </c>
      <c r="D17">
        <v>23913</v>
      </c>
      <c r="E17">
        <f t="shared" si="0"/>
        <v>4.7798268724124952E-2</v>
      </c>
      <c r="F17">
        <f t="shared" si="1"/>
        <v>4.779826872412495</v>
      </c>
    </row>
    <row r="18" spans="1:6" x14ac:dyDescent="0.2">
      <c r="A18">
        <v>2006</v>
      </c>
      <c r="B18">
        <v>941</v>
      </c>
      <c r="C18">
        <v>1221</v>
      </c>
      <c r="D18">
        <v>23622</v>
      </c>
      <c r="E18">
        <f t="shared" si="0"/>
        <v>3.9835746338159346E-2</v>
      </c>
      <c r="F18">
        <f t="shared" si="1"/>
        <v>3.9835746338159348</v>
      </c>
    </row>
    <row r="19" spans="1:6" x14ac:dyDescent="0.2">
      <c r="A19">
        <v>2007</v>
      </c>
      <c r="B19">
        <v>966</v>
      </c>
      <c r="C19">
        <v>988</v>
      </c>
      <c r="D19">
        <v>23368</v>
      </c>
      <c r="E19">
        <f t="shared" si="0"/>
        <v>4.1338582677165357E-2</v>
      </c>
      <c r="F19">
        <f t="shared" si="1"/>
        <v>4.1338582677165361</v>
      </c>
    </row>
    <row r="20" spans="1:6" x14ac:dyDescent="0.2">
      <c r="A20">
        <v>2008</v>
      </c>
      <c r="B20">
        <v>1023</v>
      </c>
      <c r="C20">
        <v>1064</v>
      </c>
      <c r="D20">
        <v>25150</v>
      </c>
      <c r="E20">
        <f t="shared" si="0"/>
        <v>4.0675944333996024E-2</v>
      </c>
      <c r="F20">
        <f t="shared" si="1"/>
        <v>4.0675944333996021</v>
      </c>
    </row>
    <row r="21" spans="1:6" x14ac:dyDescent="0.2">
      <c r="A21">
        <v>2009</v>
      </c>
      <c r="B21">
        <v>1348</v>
      </c>
      <c r="C21">
        <v>1458</v>
      </c>
      <c r="D21">
        <v>24514</v>
      </c>
      <c r="E21">
        <f t="shared" si="0"/>
        <v>5.4988985885616383E-2</v>
      </c>
      <c r="F21">
        <f t="shared" si="1"/>
        <v>5.4988985885616382</v>
      </c>
    </row>
    <row r="22" spans="1:6" x14ac:dyDescent="0.2">
      <c r="A22">
        <v>2010</v>
      </c>
      <c r="B22">
        <v>1534</v>
      </c>
      <c r="D22">
        <v>24177</v>
      </c>
      <c r="E22">
        <f t="shared" si="0"/>
        <v>6.3448732266203414E-2</v>
      </c>
      <c r="F22">
        <f t="shared" si="1"/>
        <v>6.3448732266203418</v>
      </c>
    </row>
    <row r="23" spans="1:6" x14ac:dyDescent="0.2">
      <c r="A23">
        <v>2011</v>
      </c>
      <c r="B23">
        <v>1367</v>
      </c>
      <c r="D23">
        <v>24335</v>
      </c>
      <c r="E23">
        <f t="shared" si="0"/>
        <v>5.6174234641462914E-2</v>
      </c>
      <c r="F23">
        <f t="shared" si="1"/>
        <v>5.6174234641462917</v>
      </c>
    </row>
    <row r="24" spans="1:6" x14ac:dyDescent="0.2">
      <c r="A24">
        <v>2012</v>
      </c>
      <c r="B24">
        <v>1280</v>
      </c>
      <c r="D24">
        <v>23178</v>
      </c>
      <c r="E24">
        <f t="shared" si="0"/>
        <v>5.5224782120976791E-2</v>
      </c>
      <c r="F24">
        <f t="shared" si="1"/>
        <v>5.5224782120976794</v>
      </c>
    </row>
    <row r="25" spans="1:6" x14ac:dyDescent="0.2">
      <c r="A25">
        <v>2013</v>
      </c>
      <c r="B25">
        <v>1080</v>
      </c>
      <c r="D25">
        <v>22563</v>
      </c>
      <c r="E25">
        <f t="shared" si="0"/>
        <v>4.786597526924611E-2</v>
      </c>
      <c r="F25">
        <f t="shared" si="1"/>
        <v>4.786597526924611</v>
      </c>
    </row>
    <row r="26" spans="1:6" x14ac:dyDescent="0.2">
      <c r="A26">
        <v>2014</v>
      </c>
      <c r="B26">
        <v>935</v>
      </c>
      <c r="D26">
        <v>20879</v>
      </c>
      <c r="E26">
        <f t="shared" si="0"/>
        <v>4.4781838210642272E-2</v>
      </c>
      <c r="F26">
        <f t="shared" si="1"/>
        <v>4.4781838210642269</v>
      </c>
    </row>
    <row r="27" spans="1:6" x14ac:dyDescent="0.2">
      <c r="A27">
        <v>2015</v>
      </c>
      <c r="B27">
        <v>994</v>
      </c>
      <c r="D27">
        <v>20000</v>
      </c>
      <c r="E27">
        <f t="shared" si="0"/>
        <v>4.9700000000000001E-2</v>
      </c>
      <c r="F27">
        <f t="shared" si="1"/>
        <v>4.97</v>
      </c>
    </row>
    <row r="28" spans="1:6" x14ac:dyDescent="0.2">
      <c r="A28">
        <v>2016</v>
      </c>
      <c r="B28">
        <v>1049</v>
      </c>
      <c r="D28">
        <v>22636</v>
      </c>
      <c r="E28">
        <f t="shared" si="0"/>
        <v>4.6342109913412262E-2</v>
      </c>
      <c r="F28">
        <f t="shared" si="1"/>
        <v>4.6342109913412264</v>
      </c>
    </row>
    <row r="29" spans="1:6" x14ac:dyDescent="0.2">
      <c r="A29">
        <v>2017</v>
      </c>
      <c r="B29">
        <v>1124</v>
      </c>
      <c r="D29">
        <v>23572</v>
      </c>
      <c r="E29">
        <f t="shared" si="0"/>
        <v>4.7683692516545056E-2</v>
      </c>
      <c r="F29">
        <f t="shared" si="1"/>
        <v>4.768369251654506</v>
      </c>
    </row>
    <row r="30" spans="1:6" x14ac:dyDescent="0.2">
      <c r="A30">
        <v>2018</v>
      </c>
      <c r="B30">
        <v>1124</v>
      </c>
      <c r="D30">
        <v>24078</v>
      </c>
      <c r="E30">
        <f t="shared" si="0"/>
        <v>4.6681618074590911E-2</v>
      </c>
      <c r="F30">
        <f t="shared" si="1"/>
        <v>4.6681618074590912</v>
      </c>
    </row>
    <row r="31" spans="1:6" x14ac:dyDescent="0.2">
      <c r="A31">
        <v>2019</v>
      </c>
      <c r="B31">
        <v>1125</v>
      </c>
      <c r="D31">
        <v>23563</v>
      </c>
      <c r="E31">
        <f t="shared" si="0"/>
        <v>4.7744344947587322E-2</v>
      </c>
      <c r="F31">
        <f t="shared" si="1"/>
        <v>4.7744344947587321</v>
      </c>
    </row>
    <row r="32" spans="1:6" x14ac:dyDescent="0.2">
      <c r="A32">
        <v>2020</v>
      </c>
      <c r="B32">
        <v>1155</v>
      </c>
      <c r="D32">
        <v>28888</v>
      </c>
      <c r="E32">
        <f t="shared" si="0"/>
        <v>3.9981999446136805E-2</v>
      </c>
      <c r="F32">
        <f t="shared" si="1"/>
        <v>3.9981999446136807</v>
      </c>
    </row>
    <row r="33" spans="1:6" x14ac:dyDescent="0.2">
      <c r="A33">
        <v>2021</v>
      </c>
      <c r="B33">
        <v>1560</v>
      </c>
      <c r="D33">
        <v>30652</v>
      </c>
      <c r="E33">
        <f t="shared" si="0"/>
        <v>5.0893905781025706E-2</v>
      </c>
      <c r="F33">
        <f t="shared" si="1"/>
        <v>5.0893905781025701</v>
      </c>
    </row>
    <row r="34" spans="1:6" x14ac:dyDescent="0.2">
      <c r="A34">
        <v>2022</v>
      </c>
      <c r="B34">
        <v>1629</v>
      </c>
      <c r="D34">
        <v>31841</v>
      </c>
      <c r="E34">
        <f t="shared" si="0"/>
        <v>5.1160453503344742E-2</v>
      </c>
      <c r="F34">
        <f t="shared" si="1"/>
        <v>5.1160453503344741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Valerio Vignoli</dc:creator>
  <cp:lastModifiedBy>Valerio Vignoli</cp:lastModifiedBy>
  <dcterms:created xsi:type="dcterms:W3CDTF">2021-08-05T16:25:10Z</dcterms:created>
  <dcterms:modified xsi:type="dcterms:W3CDTF">2023-05-01T15:54:18Z</dcterms:modified>
</cp:coreProperties>
</file>