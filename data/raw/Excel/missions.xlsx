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ovignoli/Desktop/dataset and scripts/articolo_IP/"/>
    </mc:Choice>
  </mc:AlternateContent>
  <xr:revisionPtr revIDLastSave="0" documentId="13_ncr:1_{CC9D3311-2671-4F4A-853D-D78671F3434C}" xr6:coauthVersionLast="47" xr6:coauthVersionMax="47" xr10:uidLastSave="{00000000-0000-0000-0000-000000000000}"/>
  <bookViews>
    <workbookView xWindow="160" yWindow="760" windowWidth="30080" windowHeight="17840" xr2:uid="{51A1FEB5-ED03-C549-B3E8-EF0EB686A657}"/>
  </bookViews>
  <sheets>
    <sheet name="missioni_princip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9" i="1" l="1"/>
  <c r="L168" i="1"/>
  <c r="L167" i="1"/>
  <c r="L166" i="1"/>
  <c r="L165" i="1"/>
  <c r="L164" i="1"/>
  <c r="L163" i="1"/>
  <c r="L160" i="1"/>
  <c r="L157" i="1"/>
  <c r="L161" i="1"/>
  <c r="L156" i="1"/>
  <c r="L154" i="1"/>
  <c r="L155" i="1" l="1"/>
  <c r="L159" i="1"/>
  <c r="L158" i="1"/>
  <c r="L162" i="1"/>
  <c r="L119" i="1"/>
  <c r="L118" i="1"/>
  <c r="L123" i="1"/>
  <c r="L153" i="1"/>
  <c r="L111" i="1"/>
  <c r="L151" i="1"/>
  <c r="L149" i="1"/>
  <c r="L148" i="1"/>
  <c r="L146" i="1"/>
  <c r="L141" i="1"/>
  <c r="L142" i="1"/>
  <c r="L143" i="1"/>
  <c r="L144" i="1"/>
  <c r="L138" i="1"/>
  <c r="L136" i="1"/>
  <c r="L131" i="1"/>
  <c r="L132" i="1"/>
  <c r="L129" i="1"/>
  <c r="L128" i="1"/>
  <c r="L126" i="1"/>
  <c r="L124" i="1"/>
  <c r="L122" i="1"/>
  <c r="L121" i="1"/>
  <c r="L116" i="1"/>
  <c r="L107" i="1"/>
  <c r="L104" i="1"/>
  <c r="L102" i="1"/>
  <c r="L93" i="1"/>
  <c r="L91" i="1"/>
  <c r="L87" i="1"/>
  <c r="L84" i="1"/>
  <c r="L85" i="1"/>
  <c r="L80" i="1"/>
  <c r="L73" i="1"/>
  <c r="L60" i="1"/>
  <c r="L31" i="1"/>
  <c r="L13" i="1"/>
  <c r="L11" i="1"/>
  <c r="L6" i="1"/>
  <c r="L140" i="1"/>
  <c r="L145" i="1"/>
  <c r="L147" i="1"/>
  <c r="L150" i="1"/>
  <c r="L152" i="1"/>
  <c r="L137" i="1"/>
  <c r="L115" i="1" l="1"/>
  <c r="L112" i="1"/>
  <c r="L2" i="1"/>
  <c r="L3" i="1"/>
  <c r="L5" i="1"/>
  <c r="L4" i="1"/>
  <c r="L7" i="1"/>
  <c r="L8" i="1"/>
  <c r="L9" i="1"/>
  <c r="L10" i="1"/>
  <c r="L12" i="1"/>
  <c r="L14" i="1"/>
  <c r="L15" i="1"/>
  <c r="L16" i="1"/>
  <c r="L18" i="1"/>
  <c r="L17" i="1"/>
  <c r="L20" i="1"/>
  <c r="L19" i="1"/>
  <c r="L21" i="1"/>
  <c r="L22" i="1"/>
  <c r="L25" i="1"/>
  <c r="L23" i="1"/>
  <c r="L30" i="1"/>
  <c r="L29" i="1"/>
  <c r="L28" i="1"/>
  <c r="L26" i="1"/>
  <c r="L27" i="1"/>
  <c r="L24" i="1"/>
  <c r="L32" i="1"/>
  <c r="L34" i="1"/>
  <c r="L33" i="1"/>
  <c r="L38" i="1"/>
  <c r="L35" i="1"/>
  <c r="L39" i="1"/>
  <c r="L36" i="1"/>
  <c r="L37" i="1"/>
  <c r="L40" i="1"/>
  <c r="L41" i="1"/>
  <c r="L46" i="1"/>
  <c r="L42" i="1"/>
  <c r="L43" i="1"/>
  <c r="L45" i="1"/>
  <c r="L47" i="1"/>
  <c r="L44" i="1"/>
  <c r="L50" i="1"/>
  <c r="L52" i="1"/>
  <c r="L49" i="1"/>
  <c r="L51" i="1"/>
  <c r="L54" i="1"/>
  <c r="L48" i="1"/>
  <c r="L55" i="1"/>
  <c r="L56" i="1"/>
  <c r="L57" i="1"/>
  <c r="L58" i="1"/>
  <c r="L59" i="1"/>
  <c r="L62" i="1"/>
  <c r="L63" i="1"/>
  <c r="L61" i="1"/>
  <c r="L64" i="1"/>
  <c r="L65" i="1"/>
  <c r="L66" i="1"/>
  <c r="L53" i="1"/>
  <c r="L69" i="1"/>
  <c r="L68" i="1"/>
  <c r="L67" i="1"/>
  <c r="L83" i="1"/>
  <c r="L72" i="1"/>
  <c r="L70" i="1"/>
  <c r="L74" i="1"/>
  <c r="L78" i="1"/>
  <c r="L76" i="1"/>
  <c r="L71" i="1"/>
  <c r="L77" i="1"/>
  <c r="L75" i="1"/>
  <c r="L79" i="1"/>
  <c r="L81" i="1"/>
  <c r="L88" i="1"/>
  <c r="L90" i="1"/>
  <c r="L89" i="1"/>
  <c r="L82" i="1"/>
  <c r="L86" i="1"/>
  <c r="L95" i="1"/>
  <c r="L92" i="1"/>
  <c r="L94" i="1"/>
  <c r="L98" i="1"/>
  <c r="L96" i="1"/>
  <c r="L99" i="1"/>
  <c r="L97" i="1"/>
  <c r="L100" i="1"/>
  <c r="L101" i="1"/>
  <c r="L103" i="1"/>
  <c r="L105" i="1"/>
  <c r="L108" i="1"/>
  <c r="L106" i="1"/>
  <c r="L109" i="1"/>
  <c r="L110" i="1"/>
  <c r="L133" i="1"/>
  <c r="L113" i="1"/>
  <c r="L114" i="1"/>
  <c r="L120" i="1"/>
  <c r="L117" i="1"/>
  <c r="L139" i="1"/>
  <c r="L125" i="1"/>
  <c r="L127" i="1"/>
  <c r="L130" i="1"/>
  <c r="L134" i="1"/>
  <c r="L1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tc={E384F5A4-10B1-6E4F-9F24-D02DEDF43BE3}</author>
    <author>tc={18D6D47C-81F4-744B-BD82-290382B1B1E4}</author>
    <author>tc={3EE74534-EAEE-554D-95A0-02BC02632E97}</author>
    <author>tc={BFA80577-4CB8-3546-B6C5-9B75ECFCA68A}</author>
    <author>tc={C44C8333-1B9B-C14A-987D-4B1BC3809327}</author>
    <author>tc={F2FEB396-C770-C040-AD15-233A9C9345BD}</author>
    <author>tc={01317883-1C14-D34C-A563-21C9A3FF8190}</author>
  </authors>
  <commentList>
    <comment ref="H4" authorId="0" shapeId="0" xr:uid="{E384F5A4-10B1-6E4F-9F24-D02DEDF43BE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questo non so come si possa spiegare…</t>
      </text>
    </comment>
    <comment ref="H45" authorId="1" shapeId="0" xr:uid="{18D6D47C-81F4-744B-BD82-290382B1B1E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qui in realtà l’Italia ha anticipato di pochissimo la fine della missione</t>
      </text>
    </comment>
    <comment ref="H61" authorId="2" shapeId="0" xr:uid="{3EE74534-EAEE-554D-95A0-02BC02632E9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 questo caso l’Italia ha aderito contemporaneamente ad EULEX, missione sul terreno della UE con stesse finalità</t>
      </text>
    </comment>
    <comment ref="H65" authorId="3" shapeId="0" xr:uid="{BFA80577-4CB8-3546-B6C5-9B75ECFCA68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anche qua il ritiro è stato anticipato di poco</t>
      </text>
    </comment>
    <comment ref="H77" authorId="4" shapeId="0" xr:uid="{C44C8333-1B9B-C14A-987D-4B1BC380932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la cosa che non mi torna è: ce ne siamo andati dall’Iraq nel 2006 con la fine di antica babilonia e ci siamo tornati nel 2014 per Prima Parthica?</t>
      </text>
    </comment>
    <comment ref="H115" authorId="5" shapeId="0" xr:uid="{F2FEB396-C770-C040-AD15-233A9C9345B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possibile perché ci siano state altre missioni vicine? Però in realtà le missioni in Niger sono arrivate anni dopo il ritiro</t>
      </text>
    </comment>
    <comment ref="H133" authorId="6" shapeId="0" xr:uid="{01317883-1C14-D34C-A563-21C9A3FF819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qua sospetto pure ci sia la decisione di uscire dalla missione perché ce n’erano già altre di simili</t>
      </text>
    </comment>
  </commentList>
</comments>
</file>

<file path=xl/sharedStrings.xml><?xml version="1.0" encoding="utf-8"?>
<sst xmlns="http://schemas.openxmlformats.org/spreadsheetml/2006/main" count="733" uniqueCount="252">
  <si>
    <t>Mandato ONU in Somalia</t>
  </si>
  <si>
    <t>Somalia</t>
  </si>
  <si>
    <t>UNEF</t>
  </si>
  <si>
    <t>UNOGIL</t>
  </si>
  <si>
    <t>UNTSO</t>
  </si>
  <si>
    <t>Intervento in Laos</t>
  </si>
  <si>
    <t>Asia</t>
  </si>
  <si>
    <t>Laos</t>
  </si>
  <si>
    <t>UNOC</t>
  </si>
  <si>
    <t>UNYOM</t>
  </si>
  <si>
    <t>Yemen</t>
  </si>
  <si>
    <t>UNMOGIP</t>
  </si>
  <si>
    <t>MICTM</t>
  </si>
  <si>
    <t>Malta</t>
  </si>
  <si>
    <t>UNIFIL</t>
  </si>
  <si>
    <t xml:space="preserve">DIATM </t>
  </si>
  <si>
    <t xml:space="preserve">MFO </t>
  </si>
  <si>
    <t>Libano I</t>
  </si>
  <si>
    <t>Libano II</t>
  </si>
  <si>
    <t>Mine Mar Rosso</t>
  </si>
  <si>
    <t>UNIIMOG</t>
  </si>
  <si>
    <t>Iraq</t>
  </si>
  <si>
    <t>MIATM</t>
  </si>
  <si>
    <t>UNOCA</t>
  </si>
  <si>
    <t>Afghanistan</t>
  </si>
  <si>
    <t>UNTAG</t>
  </si>
  <si>
    <t>Namibia</t>
  </si>
  <si>
    <t>Desert Storm - Locusta</t>
  </si>
  <si>
    <t>Provide Comfort I</t>
  </si>
  <si>
    <t>UNOSGI</t>
  </si>
  <si>
    <t>Pellicano</t>
  </si>
  <si>
    <t>Albania</t>
  </si>
  <si>
    <t>ONUSAL</t>
  </si>
  <si>
    <t>El Salvador</t>
  </si>
  <si>
    <t>Provide Comfort II</t>
  </si>
  <si>
    <t>UNSCOM</t>
  </si>
  <si>
    <t>UNIKOM</t>
  </si>
  <si>
    <t>MINURSO</t>
  </si>
  <si>
    <t>NATO</t>
  </si>
  <si>
    <t>UNTAC</t>
  </si>
  <si>
    <t>UNOMOZ</t>
  </si>
  <si>
    <t>Deny Flight</t>
  </si>
  <si>
    <t>Operazione Danubio</t>
  </si>
  <si>
    <t xml:space="preserve">Ippocampo </t>
  </si>
  <si>
    <t>Rwanda</t>
  </si>
  <si>
    <t>TIPH I</t>
  </si>
  <si>
    <t xml:space="preserve">Deliberate Force </t>
  </si>
  <si>
    <t>United Shield</t>
  </si>
  <si>
    <t>UPFM</t>
  </si>
  <si>
    <t>UNAVEM III</t>
  </si>
  <si>
    <t>Angola</t>
  </si>
  <si>
    <t>IFOR</t>
  </si>
  <si>
    <t>MINUGUA</t>
  </si>
  <si>
    <t>Guatemala</t>
  </si>
  <si>
    <t>Alba</t>
  </si>
  <si>
    <t>MAPE</t>
  </si>
  <si>
    <t>Joint Forge (SFOR)</t>
  </si>
  <si>
    <t>Kosovo</t>
  </si>
  <si>
    <t>28esimo gruppo navale</t>
  </si>
  <si>
    <t>DIE</t>
  </si>
  <si>
    <t>TIPH II</t>
  </si>
  <si>
    <t>Eagle Eye</t>
  </si>
  <si>
    <t>Joint Guarantor</t>
  </si>
  <si>
    <t>Macedonia</t>
  </si>
  <si>
    <t>Allied Force</t>
  </si>
  <si>
    <t>Allied Harbour</t>
  </si>
  <si>
    <t>Allied Harvest</t>
  </si>
  <si>
    <t>INTERFET</t>
  </si>
  <si>
    <t>UNMIK</t>
  </si>
  <si>
    <t>KFOR - Joint Enterprise</t>
  </si>
  <si>
    <t>Albit</t>
  </si>
  <si>
    <t>UNMEE</t>
  </si>
  <si>
    <t>UNMIBH (IPTF)</t>
  </si>
  <si>
    <t>Enduring Freedom - Nibbio</t>
  </si>
  <si>
    <t>Active Endeavour</t>
  </si>
  <si>
    <t>Amber Fox</t>
  </si>
  <si>
    <t>EU AMIS II Sudan</t>
  </si>
  <si>
    <t>Sudan</t>
  </si>
  <si>
    <t>NATO HQ Tirana</t>
  </si>
  <si>
    <t>ISAF</t>
  </si>
  <si>
    <t>NATO HQ Skopje</t>
  </si>
  <si>
    <t>Allied Harmony</t>
  </si>
  <si>
    <t>Artemis</t>
  </si>
  <si>
    <t>EU Concordia</t>
  </si>
  <si>
    <t>Processo Pace Sudan</t>
  </si>
  <si>
    <t xml:space="preserve">Antica Babilonia </t>
  </si>
  <si>
    <t>EUPM</t>
  </si>
  <si>
    <t>EUPOL Proxima</t>
  </si>
  <si>
    <t>NTM I</t>
  </si>
  <si>
    <t xml:space="preserve">Baltic Air Policing </t>
  </si>
  <si>
    <t>Mare Sicuro</t>
  </si>
  <si>
    <t>INDUS</t>
  </si>
  <si>
    <t>Pakistan</t>
  </si>
  <si>
    <t>UNMIS</t>
  </si>
  <si>
    <t>UNOWA</t>
  </si>
  <si>
    <t>EUPOL Kinshasa</t>
  </si>
  <si>
    <t>NATO HQ Sarajevo</t>
  </si>
  <si>
    <t>UNFICYP</t>
  </si>
  <si>
    <t>Althea</t>
  </si>
  <si>
    <t>EUFOR RDC</t>
  </si>
  <si>
    <t>EUPAT</t>
  </si>
  <si>
    <t>EUBAM Rafah</t>
  </si>
  <si>
    <t xml:space="preserve">EUPT </t>
  </si>
  <si>
    <t>NATO HQ Belgrado</t>
  </si>
  <si>
    <t>Serbia</t>
  </si>
  <si>
    <t>AMISOM</t>
  </si>
  <si>
    <t>EUSEC RDC</t>
  </si>
  <si>
    <t>EUPOL RDC</t>
  </si>
  <si>
    <t xml:space="preserve">EUPOL Afghanistan </t>
  </si>
  <si>
    <t>EUFOR Ciad</t>
  </si>
  <si>
    <t>UNAMID</t>
  </si>
  <si>
    <t xml:space="preserve">EUMM Georgia </t>
  </si>
  <si>
    <t>Georgia</t>
  </si>
  <si>
    <t>Atalanta</t>
  </si>
  <si>
    <t>Ocean Shield</t>
  </si>
  <si>
    <t xml:space="preserve">Caravella </t>
  </si>
  <si>
    <t>Haiti</t>
  </si>
  <si>
    <t>White Crane</t>
  </si>
  <si>
    <t>EULEX Kosovo</t>
  </si>
  <si>
    <t>EUTM Somalia</t>
  </si>
  <si>
    <t>Unified Protector</t>
  </si>
  <si>
    <t>Cyrene</t>
  </si>
  <si>
    <t>UNSMIS</t>
  </si>
  <si>
    <t>Mali</t>
  </si>
  <si>
    <t>Base Gibuti</t>
  </si>
  <si>
    <t>MICCD</t>
  </si>
  <si>
    <t xml:space="preserve">Cieli Ghiacciati </t>
  </si>
  <si>
    <t xml:space="preserve">EUBAM Libya </t>
  </si>
  <si>
    <t>Active Fence</t>
  </si>
  <si>
    <t>EUDEL</t>
  </si>
  <si>
    <t>EUTM Mali</t>
  </si>
  <si>
    <t>MINUSMA</t>
  </si>
  <si>
    <t>EUFOR RCA</t>
  </si>
  <si>
    <t>EMOCHM</t>
  </si>
  <si>
    <t>Frontiera Baltica</t>
  </si>
  <si>
    <t>EUNAVFOR Med - Sophia</t>
  </si>
  <si>
    <t>MIBIL</t>
  </si>
  <si>
    <t>Prima Parthica</t>
  </si>
  <si>
    <t>Resolute Support</t>
  </si>
  <si>
    <t>Ippocrate</t>
  </si>
  <si>
    <t>EUTM RCA</t>
  </si>
  <si>
    <t>Enhanced Air Policing Bulgaria</t>
  </si>
  <si>
    <t>Bulgaria</t>
  </si>
  <si>
    <t>Northern Ice</t>
  </si>
  <si>
    <t>EUAM Iraq</t>
  </si>
  <si>
    <t>Sea Guardian</t>
  </si>
  <si>
    <t>Baltic Eagle</t>
  </si>
  <si>
    <t>Northern Stork</t>
  </si>
  <si>
    <t>Joint Operation Themis</t>
  </si>
  <si>
    <t>MIASIT</t>
  </si>
  <si>
    <t>MISIN Niger</t>
  </si>
  <si>
    <t>Niger</t>
  </si>
  <si>
    <t>Enhanced Air Policing Romania</t>
  </si>
  <si>
    <t>Romania</t>
  </si>
  <si>
    <t>Northern Lightning I</t>
  </si>
  <si>
    <t>NATO Standing Naval Forces Med</t>
  </si>
  <si>
    <t>Northern Lightning II</t>
  </si>
  <si>
    <t>EUNAVFOR Med - Irini</t>
  </si>
  <si>
    <t>Desert Shield - Golfo 2</t>
  </si>
  <si>
    <t>UNOSOM II - Ibis II</t>
  </si>
  <si>
    <t>UNITAF - Restore Hope - Ibis I</t>
  </si>
  <si>
    <t>Essential Harvest</t>
  </si>
  <si>
    <t>UNMISS</t>
  </si>
  <si>
    <t>UNSMIL</t>
  </si>
  <si>
    <t>EUCAP Sahel Mali</t>
  </si>
  <si>
    <t>EUCAP Sahel Niger</t>
  </si>
  <si>
    <t>EUCAP Somalia</t>
  </si>
  <si>
    <t>Task Force Takuba</t>
  </si>
  <si>
    <t>EUMM Balcani</t>
  </si>
  <si>
    <t>Sharp Fence - Maritime Guard</t>
  </si>
  <si>
    <t>MONUSCO</t>
  </si>
  <si>
    <t>date_start</t>
  </si>
  <si>
    <t>mission</t>
  </si>
  <si>
    <t>date_end</t>
  </si>
  <si>
    <t>year_start</t>
  </si>
  <si>
    <t>year_end</t>
  </si>
  <si>
    <t>year_start_int</t>
  </si>
  <si>
    <t>yaer_end_int</t>
  </si>
  <si>
    <t>withdrawal</t>
  </si>
  <si>
    <t>framework</t>
  </si>
  <si>
    <t>UN</t>
  </si>
  <si>
    <t>EU</t>
  </si>
  <si>
    <t>Bilateral</t>
  </si>
  <si>
    <t>region</t>
  </si>
  <si>
    <t>Americas</t>
  </si>
  <si>
    <t>Sub-Saharan Africa</t>
  </si>
  <si>
    <t>country</t>
  </si>
  <si>
    <t>Central African Republic</t>
  </si>
  <si>
    <t>Mozambique</t>
  </si>
  <si>
    <t>East Timor</t>
  </si>
  <si>
    <t>Cambodia</t>
  </si>
  <si>
    <t>Balkans</t>
  </si>
  <si>
    <t>Adriatic Sea</t>
  </si>
  <si>
    <t>Bosnia and Herzegovina</t>
  </si>
  <si>
    <t>Middle East</t>
  </si>
  <si>
    <t>Lebanon</t>
  </si>
  <si>
    <t>Palestine</t>
  </si>
  <si>
    <t>Syria</t>
  </si>
  <si>
    <t>Egypt</t>
  </si>
  <si>
    <t>Morocco</t>
  </si>
  <si>
    <t>Mediterranean Sea</t>
  </si>
  <si>
    <t>Chad</t>
  </si>
  <si>
    <t>Libya</t>
  </si>
  <si>
    <t>Rest of Europe</t>
  </si>
  <si>
    <t>Lithuania</t>
  </si>
  <si>
    <t>Cyprus</t>
  </si>
  <si>
    <t>Iceland</t>
  </si>
  <si>
    <t>Latvia</t>
  </si>
  <si>
    <t>Esthonia</t>
  </si>
  <si>
    <t>Ongoing</t>
  </si>
  <si>
    <t>duration_days</t>
  </si>
  <si>
    <t>Sharp Guard</t>
  </si>
  <si>
    <t>Israel, Egypt, Jordan, Syria</t>
  </si>
  <si>
    <t>India, Pakistan</t>
  </si>
  <si>
    <t>DR Congo</t>
  </si>
  <si>
    <t>Egypt, Israel</t>
  </si>
  <si>
    <t>Iraq, Iran</t>
  </si>
  <si>
    <t>Iraq, Kuwait</t>
  </si>
  <si>
    <t>Bosnia and Herzegovina, Croatia, Serbia, Montenegro, Albania, Macedonia</t>
  </si>
  <si>
    <t>Yugoslavia</t>
  </si>
  <si>
    <t>Ehiopia, Eritrea</t>
  </si>
  <si>
    <t>Estonia, Latvia, Lithuania</t>
  </si>
  <si>
    <t>Indian Ocean</t>
  </si>
  <si>
    <t>Turkey</t>
  </si>
  <si>
    <t>Multinational</t>
  </si>
  <si>
    <t xml:space="preserve">EUDEL Libya </t>
  </si>
  <si>
    <t>Enhanced Forward Presence - Baltic Guardian Lettonia</t>
  </si>
  <si>
    <t>TFA-R Gladiator Romania</t>
  </si>
  <si>
    <t>Enhanced Vigilance Activity Bulgaria</t>
  </si>
  <si>
    <t>Enhanced Vigilance Activity Hungary</t>
  </si>
  <si>
    <t>Hungary</t>
  </si>
  <si>
    <t>UNSOM</t>
  </si>
  <si>
    <t>TASK Force CEDRI</t>
  </si>
  <si>
    <t>EUAM Ukraine</t>
  </si>
  <si>
    <t>Ukraine</t>
  </si>
  <si>
    <t>Qatar World Cup</t>
  </si>
  <si>
    <t>Qatar</t>
  </si>
  <si>
    <t>VJTF NATO</t>
  </si>
  <si>
    <t>EUTM Mozambico</t>
  </si>
  <si>
    <t>NATO Mission Iraq</t>
  </si>
  <si>
    <t>EUMAM Ukraine</t>
  </si>
  <si>
    <t>EUMPM Niger</t>
  </si>
  <si>
    <t>EMASoH</t>
  </si>
  <si>
    <t>EUNAVFOR - Aspides</t>
  </si>
  <si>
    <t>Combined Task Force 153</t>
  </si>
  <si>
    <t>Operazione Levante</t>
  </si>
  <si>
    <t>MIADIT Somalia</t>
  </si>
  <si>
    <t>MIADIT Palestine</t>
  </si>
  <si>
    <t>Bilateral mission in Burkina Faso</t>
  </si>
  <si>
    <t>Burkina Faso</t>
  </si>
  <si>
    <t>Djibouti</t>
  </si>
  <si>
    <t>Northern Africa and Meditterranean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</si>
</sst>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</cellXfs>
  <cellStyles count="1">
    <cellStyle name="Normale" xfId="0" builtinId="0"/>
  </cellStyles>
  <dxfs count="14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rio Vignoli" id="{B58EAB70-E4A0-E748-8F30-E17C5B34C02B}" userId="Valerio Vignoli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8ACB5-14A9-A648-899D-B45155A03BDE}" name="Tabella13" displayName="Tabella13" ref="A1:L169" totalsRowShown="0" headerRowDxfId="13" dataDxfId="12">
  <autoFilter ref="A1:L169" xr:uid="{1CA89E36-8598-9F4E-84D7-E59C78DEBA10}"/>
  <sortState xmlns:xlrd2="http://schemas.microsoft.com/office/spreadsheetml/2017/richdata2" ref="A2:L162">
    <sortCondition ref="B1:B162"/>
  </sortState>
  <tableColumns count="12">
    <tableColumn id="1" xr3:uid="{ABEDB173-5472-9641-A7C5-46F59DBAB014}" name="mission" dataDxfId="11"/>
    <tableColumn id="7" xr3:uid="{13A804F0-0002-424B-AE3A-8FD295480C03}" name="date_start" dataDxfId="10"/>
    <tableColumn id="8" xr3:uid="{1DF0D93E-2E0B-FF4D-AB19-5CE7AF91FE5A}" name="date_end" dataDxfId="9"/>
    <tableColumn id="2" xr3:uid="{29F2F551-6682-3B41-8145-E087E0CE620D}" name="year_start" dataDxfId="8"/>
    <tableColumn id="3" xr3:uid="{B62866B8-5592-E441-AA71-3CA8D09DB7BF}" name="year_end" dataDxfId="7"/>
    <tableColumn id="11" xr3:uid="{0BB699D1-57B7-7043-8064-FB4F93E330AF}" name="year_start_int" dataDxfId="6"/>
    <tableColumn id="10" xr3:uid="{23F47CD4-26A0-BA47-A5AC-F794F398F59D}" name="yaer_end_int" dataDxfId="5"/>
    <tableColumn id="13" xr3:uid="{50F60ED4-CE58-304D-A83F-BE0E6DB8A366}" name="withdrawal" dataDxfId="4"/>
    <tableColumn id="4" xr3:uid="{6089FCBE-23B1-BE48-8B4B-42DACB525584}" name="framework" dataDxfId="3"/>
    <tableColumn id="5" xr3:uid="{1020CBAD-0F98-BE4F-8A75-E7E51D919753}" name="region" dataDxfId="2"/>
    <tableColumn id="6" xr3:uid="{ACD6F273-2910-E24F-9013-E369ACDEB13F}" name="country" dataDxfId="1"/>
    <tableColumn id="9" xr3:uid="{E0BB3707-1CAF-1D43-AEC8-1A40141F758F}" name="duration_days" dataDxfId="0">
      <calculatedColumnFormula>Tabella13[[#This Row],[date_end]]-Tabella13[[#This Row],[date_start]]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1-07-12T09:09:55.76" personId="{B58EAB70-E4A0-E748-8F30-E17C5B34C02B}" id="{E384F5A4-10B1-6E4F-9F24-D02DEDF43BE3}">
    <text>questo non so come si possa spiegare…</text>
  </threadedComment>
  <threadedComment ref="H45" dT="2021-07-12T09:10:36.91" personId="{B58EAB70-E4A0-E748-8F30-E17C5B34C02B}" id="{18D6D47C-81F4-744B-BD82-290382B1B1E4}">
    <text>qui in realtà l’Italia ha anticipato di pochissimo la fine della missione</text>
  </threadedComment>
  <threadedComment ref="H61" dT="2021-07-12T09:09:30.14" personId="{B58EAB70-E4A0-E748-8F30-E17C5B34C02B}" id="{3EE74534-EAEE-554D-95A0-02BC02632E97}">
    <text>in questo caso l’Italia ha aderito contemporaneamente ad EULEX, missione sul terreno della UE con stesse finalità</text>
  </threadedComment>
  <threadedComment ref="H65" dT="2021-07-12T09:17:57.62" personId="{B58EAB70-E4A0-E748-8F30-E17C5B34C02B}" id="{BFA80577-4CB8-3546-B6C5-9B75ECFCA68A}">
    <text>anche qua il ritiro è stato anticipato di poco</text>
  </threadedComment>
  <threadedComment ref="H77" dT="2021-07-12T09:48:39.49" personId="{B58EAB70-E4A0-E748-8F30-E17C5B34C02B}" id="{C44C8333-1B9B-C14A-987D-4B1BC3809327}">
    <text>la cosa che non mi torna è: ce ne siamo andati dall’Iraq nel 2006 con la fine di antica babilonia e ci siamo tornati nel 2014 per Prima Parthica?</text>
  </threadedComment>
  <threadedComment ref="H115" dT="2021-07-12T11:30:56.70" personId="{B58EAB70-E4A0-E748-8F30-E17C5B34C02B}" id="{F2FEB396-C770-C040-AD15-233A9C9345BD}">
    <text>possibile perché ci siano state altre missioni vicine? Però in realtà le missioni in Niger sono arrivate anni dopo il ritiro</text>
  </threadedComment>
  <threadedComment ref="H133" dT="2021-07-12T11:44:41.37" personId="{B58EAB70-E4A0-E748-8F30-E17C5B34C02B}" id="{01317883-1C14-D34C-A563-21C9A3FF8190}">
    <text>qua sospetto pure ci sia la decisione di uscire dalla missione perché ce n’erano già altre di simili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6615-6BCD-0642-A767-B93BD0D565F1}">
  <dimension ref="A1:AI169"/>
  <sheetViews>
    <sheetView tabSelected="1" zoomScale="93" workbookViewId="0">
      <selection activeCell="J3" sqref="J3:J151"/>
    </sheetView>
  </sheetViews>
  <sheetFormatPr baseColWidth="10" defaultRowHeight="16" x14ac:dyDescent="0.2"/>
  <cols>
    <col min="1" max="3" width="28.5" customWidth="1"/>
    <col min="4" max="4" width="17.1640625" customWidth="1"/>
    <col min="5" max="5" width="13.6640625" customWidth="1"/>
    <col min="6" max="6" width="20" customWidth="1"/>
    <col min="7" max="8" width="18.33203125" customWidth="1"/>
    <col min="9" max="9" width="19.33203125" customWidth="1"/>
    <col min="10" max="11" width="25" customWidth="1"/>
    <col min="12" max="12" width="16.1640625" customWidth="1"/>
  </cols>
  <sheetData>
    <row r="1" spans="1:12" x14ac:dyDescent="0.2">
      <c r="A1" s="1" t="s">
        <v>172</v>
      </c>
      <c r="B1" s="1" t="s">
        <v>171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183</v>
      </c>
      <c r="K1" s="1" t="s">
        <v>186</v>
      </c>
      <c r="L1" s="1" t="s">
        <v>210</v>
      </c>
    </row>
    <row r="2" spans="1:12" x14ac:dyDescent="0.2">
      <c r="A2" s="1" t="s">
        <v>0</v>
      </c>
      <c r="B2" s="2">
        <v>18306</v>
      </c>
      <c r="C2" s="2">
        <v>22098</v>
      </c>
      <c r="D2" s="1">
        <v>1950</v>
      </c>
      <c r="E2" s="1">
        <v>1960</v>
      </c>
      <c r="F2" s="1">
        <v>1950</v>
      </c>
      <c r="G2" s="1">
        <v>1960</v>
      </c>
      <c r="H2" s="1">
        <v>0</v>
      </c>
      <c r="I2" s="1" t="s">
        <v>180</v>
      </c>
      <c r="J2" s="1" t="s">
        <v>185</v>
      </c>
      <c r="K2" s="1" t="s">
        <v>1</v>
      </c>
      <c r="L2" s="1">
        <f>Tabella13[[#This Row],[date_end]]-Tabella13[[#This Row],[date_start]]</f>
        <v>3792</v>
      </c>
    </row>
    <row r="3" spans="1:12" x14ac:dyDescent="0.2">
      <c r="A3" s="1" t="s">
        <v>2</v>
      </c>
      <c r="B3" s="2">
        <v>20780</v>
      </c>
      <c r="C3" s="2">
        <v>24623</v>
      </c>
      <c r="D3" s="1">
        <v>1956</v>
      </c>
      <c r="E3" s="1">
        <v>1967</v>
      </c>
      <c r="F3" s="1">
        <v>1956</v>
      </c>
      <c r="G3" s="1">
        <v>1967</v>
      </c>
      <c r="H3" s="1">
        <v>0</v>
      </c>
      <c r="I3" s="1" t="s">
        <v>180</v>
      </c>
      <c r="J3" s="1" t="s">
        <v>251</v>
      </c>
      <c r="K3" s="1" t="s">
        <v>198</v>
      </c>
      <c r="L3" s="1">
        <f>Tabella13[[#This Row],[date_end]]-Tabella13[[#This Row],[date_start]]</f>
        <v>3843</v>
      </c>
    </row>
    <row r="4" spans="1:12" x14ac:dyDescent="0.2">
      <c r="A4" s="1" t="s">
        <v>4</v>
      </c>
      <c r="B4" s="2">
        <v>21345</v>
      </c>
      <c r="C4" s="2">
        <v>42089</v>
      </c>
      <c r="D4" s="1">
        <v>1958</v>
      </c>
      <c r="E4" s="1">
        <v>2015</v>
      </c>
      <c r="F4" s="1">
        <v>1948</v>
      </c>
      <c r="G4" s="1" t="s">
        <v>209</v>
      </c>
      <c r="H4" s="1">
        <v>1</v>
      </c>
      <c r="I4" s="1" t="s">
        <v>180</v>
      </c>
      <c r="J4" s="1" t="s">
        <v>194</v>
      </c>
      <c r="K4" s="1" t="s">
        <v>212</v>
      </c>
      <c r="L4" s="1">
        <f>Tabella13[[#This Row],[date_end]]-Tabella13[[#This Row],[date_start]]</f>
        <v>20744</v>
      </c>
    </row>
    <row r="5" spans="1:12" x14ac:dyDescent="0.2">
      <c r="A5" s="1" t="s">
        <v>3</v>
      </c>
      <c r="B5" s="2">
        <v>21355</v>
      </c>
      <c r="C5" s="2">
        <v>21528</v>
      </c>
      <c r="D5" s="1">
        <v>1958</v>
      </c>
      <c r="E5" s="1">
        <v>1958</v>
      </c>
      <c r="F5" s="1">
        <v>1958</v>
      </c>
      <c r="G5" s="1">
        <v>1958</v>
      </c>
      <c r="H5" s="1">
        <v>0</v>
      </c>
      <c r="I5" s="1" t="s">
        <v>180</v>
      </c>
      <c r="J5" s="1" t="s">
        <v>194</v>
      </c>
      <c r="K5" s="1" t="s">
        <v>195</v>
      </c>
      <c r="L5" s="1">
        <f>Tabella13[[#This Row],[date_end]]-Tabella13[[#This Row],[date_start]]</f>
        <v>173</v>
      </c>
    </row>
    <row r="6" spans="1:12" x14ac:dyDescent="0.2">
      <c r="A6" s="1" t="s">
        <v>11</v>
      </c>
      <c r="B6" s="2">
        <v>21553</v>
      </c>
      <c r="C6" s="2">
        <v>45657</v>
      </c>
      <c r="D6" s="1">
        <v>1959</v>
      </c>
      <c r="E6" s="1" t="s">
        <v>209</v>
      </c>
      <c r="F6" s="1"/>
      <c r="G6" s="1"/>
      <c r="H6" s="1"/>
      <c r="I6" s="1" t="s">
        <v>180</v>
      </c>
      <c r="J6" s="1" t="s">
        <v>6</v>
      </c>
      <c r="K6" s="1" t="s">
        <v>213</v>
      </c>
      <c r="L6" s="1">
        <f>Tabella13[[#This Row],[date_end]]-Tabella13[[#This Row],[date_start]]</f>
        <v>24104</v>
      </c>
    </row>
    <row r="7" spans="1:12" x14ac:dyDescent="0.2">
      <c r="A7" s="1" t="s">
        <v>5</v>
      </c>
      <c r="B7" s="2">
        <v>21830</v>
      </c>
      <c r="C7" s="2">
        <v>21874</v>
      </c>
      <c r="D7" s="1">
        <v>1959</v>
      </c>
      <c r="E7" s="1">
        <v>1959</v>
      </c>
      <c r="F7" s="1">
        <v>1959</v>
      </c>
      <c r="G7" s="1">
        <v>1959</v>
      </c>
      <c r="H7" s="1">
        <v>0</v>
      </c>
      <c r="I7" s="1" t="s">
        <v>180</v>
      </c>
      <c r="J7" s="1" t="s">
        <v>6</v>
      </c>
      <c r="K7" s="1" t="s">
        <v>7</v>
      </c>
      <c r="L7" s="1">
        <f>Tabella13[[#This Row],[date_end]]-Tabella13[[#This Row],[date_start]]</f>
        <v>44</v>
      </c>
    </row>
    <row r="8" spans="1:12" x14ac:dyDescent="0.2">
      <c r="A8" s="1" t="s">
        <v>8</v>
      </c>
      <c r="B8" s="2">
        <v>22108</v>
      </c>
      <c r="C8" s="2">
        <v>23380</v>
      </c>
      <c r="D8" s="1">
        <v>1960</v>
      </c>
      <c r="E8" s="1">
        <v>1964</v>
      </c>
      <c r="F8" s="1">
        <v>1960</v>
      </c>
      <c r="G8" s="1">
        <v>1964</v>
      </c>
      <c r="H8" s="1">
        <v>0</v>
      </c>
      <c r="I8" s="1" t="s">
        <v>180</v>
      </c>
      <c r="J8" s="1" t="s">
        <v>185</v>
      </c>
      <c r="K8" s="1" t="s">
        <v>214</v>
      </c>
      <c r="L8" s="1">
        <f>Tabella13[[#This Row],[date_end]]-Tabella13[[#This Row],[date_start]]</f>
        <v>1272</v>
      </c>
    </row>
    <row r="9" spans="1:12" x14ac:dyDescent="0.2">
      <c r="A9" s="1" t="s">
        <v>9</v>
      </c>
      <c r="B9" s="2">
        <v>23365</v>
      </c>
      <c r="C9" s="2">
        <v>23441</v>
      </c>
      <c r="D9" s="1">
        <v>1963</v>
      </c>
      <c r="E9" s="1">
        <v>1964</v>
      </c>
      <c r="F9" s="1">
        <v>1963</v>
      </c>
      <c r="G9" s="1">
        <v>1964</v>
      </c>
      <c r="H9" s="1">
        <v>0</v>
      </c>
      <c r="I9" s="1" t="s">
        <v>180</v>
      </c>
      <c r="J9" s="1" t="s">
        <v>194</v>
      </c>
      <c r="K9" s="1" t="s">
        <v>10</v>
      </c>
      <c r="L9" s="1">
        <f>Tabella13[[#This Row],[date_end]]-Tabella13[[#This Row],[date_start]]</f>
        <v>76</v>
      </c>
    </row>
    <row r="10" spans="1:12" x14ac:dyDescent="0.2">
      <c r="A10" s="1" t="s">
        <v>12</v>
      </c>
      <c r="B10" s="2">
        <v>26877</v>
      </c>
      <c r="C10" s="2">
        <v>32338</v>
      </c>
      <c r="D10" s="1">
        <v>1973</v>
      </c>
      <c r="E10" s="1">
        <v>1988</v>
      </c>
      <c r="F10" s="1"/>
      <c r="G10" s="1"/>
      <c r="H10" s="1"/>
      <c r="I10" s="1" t="s">
        <v>182</v>
      </c>
      <c r="J10" s="1" t="s">
        <v>203</v>
      </c>
      <c r="K10" s="1" t="s">
        <v>13</v>
      </c>
      <c r="L10" s="1">
        <f>Tabella13[[#This Row],[date_end]]-Tabella13[[#This Row],[date_start]]</f>
        <v>5461</v>
      </c>
    </row>
    <row r="11" spans="1:12" x14ac:dyDescent="0.2">
      <c r="A11" s="1" t="s">
        <v>14</v>
      </c>
      <c r="B11" s="2">
        <v>29039</v>
      </c>
      <c r="C11" s="2">
        <v>45657</v>
      </c>
      <c r="D11" s="1">
        <v>1979</v>
      </c>
      <c r="E11" s="1" t="s">
        <v>209</v>
      </c>
      <c r="F11" s="1"/>
      <c r="G11" s="1"/>
      <c r="H11" s="1"/>
      <c r="I11" s="1" t="s">
        <v>180</v>
      </c>
      <c r="J11" s="1" t="s">
        <v>194</v>
      </c>
      <c r="K11" s="1" t="s">
        <v>195</v>
      </c>
      <c r="L11" s="1">
        <f>Tabella13[[#This Row],[date_end]]-Tabella13[[#This Row],[date_start]]</f>
        <v>16618</v>
      </c>
    </row>
    <row r="12" spans="1:12" x14ac:dyDescent="0.2">
      <c r="A12" s="1" t="s">
        <v>15</v>
      </c>
      <c r="B12" s="2">
        <v>29951</v>
      </c>
      <c r="C12" s="2">
        <v>32338</v>
      </c>
      <c r="D12" s="1">
        <v>1981</v>
      </c>
      <c r="E12" s="1">
        <v>1988</v>
      </c>
      <c r="F12" s="1"/>
      <c r="G12" s="1"/>
      <c r="H12" s="1"/>
      <c r="I12" s="1" t="s">
        <v>182</v>
      </c>
      <c r="J12" s="1" t="s">
        <v>203</v>
      </c>
      <c r="K12" s="1" t="s">
        <v>13</v>
      </c>
      <c r="L12" s="1">
        <f>Tabella13[[#This Row],[date_end]]-Tabella13[[#This Row],[date_start]]</f>
        <v>2387</v>
      </c>
    </row>
    <row r="13" spans="1:12" x14ac:dyDescent="0.2">
      <c r="A13" s="1" t="s">
        <v>16</v>
      </c>
      <c r="B13" s="2">
        <v>30020</v>
      </c>
      <c r="C13" s="2">
        <v>45657</v>
      </c>
      <c r="D13" s="1">
        <v>1982</v>
      </c>
      <c r="E13" s="1" t="s">
        <v>209</v>
      </c>
      <c r="F13" s="1"/>
      <c r="G13" s="1"/>
      <c r="H13" s="1"/>
      <c r="I13" s="1" t="s">
        <v>224</v>
      </c>
      <c r="J13" s="1" t="s">
        <v>251</v>
      </c>
      <c r="K13" s="1" t="s">
        <v>215</v>
      </c>
      <c r="L13" s="1">
        <f>Tabella13[[#This Row],[date_end]]-Tabella13[[#This Row],[date_start]]</f>
        <v>15637</v>
      </c>
    </row>
    <row r="14" spans="1:12" x14ac:dyDescent="0.2">
      <c r="A14" s="1" t="s">
        <v>17</v>
      </c>
      <c r="B14" s="2">
        <v>30184</v>
      </c>
      <c r="C14" s="2">
        <v>30217</v>
      </c>
      <c r="D14" s="1">
        <v>1982</v>
      </c>
      <c r="E14" s="1">
        <v>1982</v>
      </c>
      <c r="F14" s="1">
        <v>1982</v>
      </c>
      <c r="G14" s="1">
        <v>1982</v>
      </c>
      <c r="H14" s="1">
        <v>0</v>
      </c>
      <c r="I14" s="1" t="s">
        <v>224</v>
      </c>
      <c r="J14" s="1" t="s">
        <v>194</v>
      </c>
      <c r="K14" s="1" t="s">
        <v>195</v>
      </c>
      <c r="L14" s="1">
        <f>Tabella13[[#This Row],[date_end]]-Tabella13[[#This Row],[date_start]]</f>
        <v>33</v>
      </c>
    </row>
    <row r="15" spans="1:12" x14ac:dyDescent="0.2">
      <c r="A15" s="1" t="s">
        <v>18</v>
      </c>
      <c r="B15" s="2">
        <v>30217</v>
      </c>
      <c r="C15" s="2">
        <v>30772</v>
      </c>
      <c r="D15" s="1">
        <v>1982</v>
      </c>
      <c r="E15" s="1">
        <v>1984</v>
      </c>
      <c r="F15" s="1">
        <v>1982</v>
      </c>
      <c r="G15" s="1">
        <v>1984</v>
      </c>
      <c r="H15" s="1">
        <v>0</v>
      </c>
      <c r="I15" s="1" t="s">
        <v>224</v>
      </c>
      <c r="J15" s="1" t="s">
        <v>194</v>
      </c>
      <c r="K15" s="1" t="s">
        <v>195</v>
      </c>
      <c r="L15" s="1">
        <f>Tabella13[[#This Row],[date_end]]-Tabella13[[#This Row],[date_start]]</f>
        <v>555</v>
      </c>
    </row>
    <row r="16" spans="1:12" x14ac:dyDescent="0.2">
      <c r="A16" s="1" t="s">
        <v>19</v>
      </c>
      <c r="B16" s="2">
        <v>30916</v>
      </c>
      <c r="C16" s="2">
        <v>30986</v>
      </c>
      <c r="D16" s="1">
        <v>1984</v>
      </c>
      <c r="E16" s="1">
        <v>1984</v>
      </c>
      <c r="F16" s="1">
        <v>1984</v>
      </c>
      <c r="G16" s="1">
        <v>1984</v>
      </c>
      <c r="H16" s="1">
        <v>0</v>
      </c>
      <c r="I16" s="1" t="s">
        <v>224</v>
      </c>
      <c r="J16" s="1" t="s">
        <v>251</v>
      </c>
      <c r="K16" s="1" t="s">
        <v>198</v>
      </c>
      <c r="L16" s="1">
        <f>Tabella13[[#This Row],[date_end]]-Tabella13[[#This Row],[date_start]]</f>
        <v>70</v>
      </c>
    </row>
    <row r="17" spans="1:12" x14ac:dyDescent="0.2">
      <c r="A17" s="1" t="s">
        <v>22</v>
      </c>
      <c r="B17" s="2">
        <v>32338</v>
      </c>
      <c r="C17" s="2">
        <v>40878</v>
      </c>
      <c r="D17" s="1">
        <v>1988</v>
      </c>
      <c r="E17" s="1">
        <v>2011</v>
      </c>
      <c r="F17" s="1"/>
      <c r="G17" s="1"/>
      <c r="H17" s="1"/>
      <c r="I17" s="1" t="s">
        <v>182</v>
      </c>
      <c r="J17" s="1" t="s">
        <v>203</v>
      </c>
      <c r="K17" s="1" t="s">
        <v>13</v>
      </c>
      <c r="L17" s="1">
        <f>Tabella13[[#This Row],[date_end]]-Tabella13[[#This Row],[date_start]]</f>
        <v>8540</v>
      </c>
    </row>
    <row r="18" spans="1:12" x14ac:dyDescent="0.2">
      <c r="A18" s="1" t="s">
        <v>20</v>
      </c>
      <c r="B18" s="2">
        <v>32370</v>
      </c>
      <c r="C18" s="2">
        <v>33307</v>
      </c>
      <c r="D18" s="1">
        <v>1988</v>
      </c>
      <c r="E18" s="1">
        <v>1991</v>
      </c>
      <c r="F18" s="1">
        <v>1988</v>
      </c>
      <c r="G18" s="1">
        <v>1991</v>
      </c>
      <c r="H18" s="1">
        <v>0</v>
      </c>
      <c r="I18" s="1" t="s">
        <v>180</v>
      </c>
      <c r="J18" s="1" t="s">
        <v>194</v>
      </c>
      <c r="K18" s="1" t="s">
        <v>216</v>
      </c>
      <c r="L18" s="1">
        <f>Tabella13[[#This Row],[date_end]]-Tabella13[[#This Row],[date_start]]</f>
        <v>937</v>
      </c>
    </row>
    <row r="19" spans="1:12" x14ac:dyDescent="0.2">
      <c r="A19" s="1" t="s">
        <v>25</v>
      </c>
      <c r="B19" s="2">
        <v>32580</v>
      </c>
      <c r="C19" s="2">
        <v>32970</v>
      </c>
      <c r="D19" s="1">
        <v>1989</v>
      </c>
      <c r="E19" s="1">
        <v>1990</v>
      </c>
      <c r="F19" s="1">
        <v>1989</v>
      </c>
      <c r="G19" s="1">
        <v>1990</v>
      </c>
      <c r="H19" s="1">
        <v>0</v>
      </c>
      <c r="I19" s="1" t="s">
        <v>180</v>
      </c>
      <c r="J19" s="1" t="s">
        <v>185</v>
      </c>
      <c r="K19" s="1" t="s">
        <v>26</v>
      </c>
      <c r="L19" s="1">
        <f>Tabella13[[#This Row],[date_end]]-Tabella13[[#This Row],[date_start]]</f>
        <v>390</v>
      </c>
    </row>
    <row r="20" spans="1:12" x14ac:dyDescent="0.2">
      <c r="A20" s="1" t="s">
        <v>23</v>
      </c>
      <c r="B20" s="2">
        <v>32597</v>
      </c>
      <c r="C20" s="2">
        <v>33160</v>
      </c>
      <c r="D20" s="1">
        <v>1989</v>
      </c>
      <c r="E20" s="1">
        <v>1990</v>
      </c>
      <c r="F20" s="1">
        <v>1989</v>
      </c>
      <c r="G20" s="1">
        <v>1990</v>
      </c>
      <c r="H20" s="1">
        <v>0</v>
      </c>
      <c r="I20" s="1" t="s">
        <v>180</v>
      </c>
      <c r="J20" s="1" t="s">
        <v>6</v>
      </c>
      <c r="K20" s="1" t="s">
        <v>24</v>
      </c>
      <c r="L20" s="1">
        <f>Tabella13[[#This Row],[date_end]]-Tabella13[[#This Row],[date_start]]</f>
        <v>563</v>
      </c>
    </row>
    <row r="21" spans="1:12" x14ac:dyDescent="0.2">
      <c r="A21" s="1" t="s">
        <v>158</v>
      </c>
      <c r="B21" s="2">
        <v>33101</v>
      </c>
      <c r="C21" s="2">
        <v>33474</v>
      </c>
      <c r="D21" s="1">
        <v>1990</v>
      </c>
      <c r="E21" s="1">
        <v>1991</v>
      </c>
      <c r="F21" s="1">
        <v>1990</v>
      </c>
      <c r="G21" s="1">
        <v>1991</v>
      </c>
      <c r="H21" s="1">
        <v>0</v>
      </c>
      <c r="I21" s="1" t="s">
        <v>224</v>
      </c>
      <c r="J21" s="1" t="s">
        <v>194</v>
      </c>
      <c r="K21" s="1" t="s">
        <v>21</v>
      </c>
      <c r="L21" s="1">
        <f>Tabella13[[#This Row],[date_end]]-Tabella13[[#This Row],[date_start]]</f>
        <v>373</v>
      </c>
    </row>
    <row r="22" spans="1:12" x14ac:dyDescent="0.2">
      <c r="A22" s="1" t="s">
        <v>27</v>
      </c>
      <c r="B22" s="2">
        <v>33141</v>
      </c>
      <c r="C22" s="2">
        <v>33310</v>
      </c>
      <c r="D22" s="1">
        <v>1990</v>
      </c>
      <c r="E22" s="1">
        <v>1991</v>
      </c>
      <c r="F22" s="1">
        <v>1990</v>
      </c>
      <c r="G22" s="1">
        <v>1991</v>
      </c>
      <c r="H22" s="1">
        <v>0</v>
      </c>
      <c r="I22" s="1" t="s">
        <v>224</v>
      </c>
      <c r="J22" s="1" t="s">
        <v>194</v>
      </c>
      <c r="K22" s="1" t="s">
        <v>21</v>
      </c>
      <c r="L22" s="1">
        <f>Tabella13[[#This Row],[date_end]]-Tabella13[[#This Row],[date_start]]</f>
        <v>169</v>
      </c>
    </row>
    <row r="23" spans="1:12" x14ac:dyDescent="0.2">
      <c r="A23" s="1" t="s">
        <v>29</v>
      </c>
      <c r="B23" s="2">
        <v>33298</v>
      </c>
      <c r="C23" s="2">
        <v>33603</v>
      </c>
      <c r="D23" s="1">
        <v>1991</v>
      </c>
      <c r="E23" s="1">
        <v>1992</v>
      </c>
      <c r="F23" s="1">
        <v>1991</v>
      </c>
      <c r="G23" s="1">
        <v>1992</v>
      </c>
      <c r="H23" s="1">
        <v>0</v>
      </c>
      <c r="I23" s="1" t="s">
        <v>180</v>
      </c>
      <c r="J23" s="1" t="s">
        <v>194</v>
      </c>
      <c r="K23" s="1" t="s">
        <v>21</v>
      </c>
      <c r="L23" s="1">
        <f>Tabella13[[#This Row],[date_end]]-Tabella13[[#This Row],[date_start]]</f>
        <v>305</v>
      </c>
    </row>
    <row r="24" spans="1:12" x14ac:dyDescent="0.2">
      <c r="A24" s="1" t="s">
        <v>36</v>
      </c>
      <c r="B24" s="2">
        <v>33346</v>
      </c>
      <c r="C24" s="2">
        <v>37894</v>
      </c>
      <c r="D24" s="1">
        <v>1991</v>
      </c>
      <c r="E24" s="1">
        <v>2003</v>
      </c>
      <c r="F24" s="1">
        <v>1991</v>
      </c>
      <c r="G24" s="1">
        <v>2003</v>
      </c>
      <c r="H24" s="1">
        <v>0</v>
      </c>
      <c r="I24" s="1" t="s">
        <v>180</v>
      </c>
      <c r="J24" s="1" t="s">
        <v>194</v>
      </c>
      <c r="K24" s="1" t="s">
        <v>217</v>
      </c>
      <c r="L24" s="1">
        <f>Tabella13[[#This Row],[date_end]]-Tabella13[[#This Row],[date_start]]</f>
        <v>4548</v>
      </c>
    </row>
    <row r="25" spans="1:12" x14ac:dyDescent="0.2">
      <c r="A25" s="1" t="s">
        <v>28</v>
      </c>
      <c r="B25" s="2">
        <v>33348</v>
      </c>
      <c r="C25" s="2">
        <v>33443</v>
      </c>
      <c r="D25" s="1">
        <v>1991</v>
      </c>
      <c r="E25" s="1">
        <v>1991</v>
      </c>
      <c r="F25" s="1">
        <v>1991</v>
      </c>
      <c r="G25" s="1">
        <v>1991</v>
      </c>
      <c r="H25" s="1">
        <v>0</v>
      </c>
      <c r="I25" s="1" t="s">
        <v>224</v>
      </c>
      <c r="J25" s="1" t="s">
        <v>194</v>
      </c>
      <c r="K25" s="1" t="s">
        <v>21</v>
      </c>
      <c r="L25" s="1">
        <f>Tabella13[[#This Row],[date_end]]-Tabella13[[#This Row],[date_start]]</f>
        <v>95</v>
      </c>
    </row>
    <row r="26" spans="1:12" x14ac:dyDescent="0.2">
      <c r="A26" s="1" t="s">
        <v>35</v>
      </c>
      <c r="B26" s="2">
        <v>33412</v>
      </c>
      <c r="C26" s="2">
        <v>36166</v>
      </c>
      <c r="D26" s="1">
        <v>1991</v>
      </c>
      <c r="E26" s="1">
        <v>1999</v>
      </c>
      <c r="F26" s="1">
        <v>1991</v>
      </c>
      <c r="G26" s="1">
        <v>1999</v>
      </c>
      <c r="H26" s="1">
        <v>0</v>
      </c>
      <c r="I26" s="1" t="s">
        <v>180</v>
      </c>
      <c r="J26" s="1" t="s">
        <v>194</v>
      </c>
      <c r="K26" s="1" t="s">
        <v>21</v>
      </c>
      <c r="L26" s="1">
        <f>Tabella13[[#This Row],[date_end]]-Tabella13[[#This Row],[date_start]]</f>
        <v>2754</v>
      </c>
    </row>
    <row r="27" spans="1:12" x14ac:dyDescent="0.2">
      <c r="A27" s="1" t="s">
        <v>168</v>
      </c>
      <c r="B27" s="2">
        <v>33437</v>
      </c>
      <c r="C27" s="2">
        <v>39008</v>
      </c>
      <c r="D27" s="1">
        <v>1991</v>
      </c>
      <c r="E27" s="1">
        <v>2006</v>
      </c>
      <c r="F27" s="1">
        <v>1991</v>
      </c>
      <c r="G27" s="1">
        <v>2006</v>
      </c>
      <c r="H27" s="1">
        <v>0</v>
      </c>
      <c r="I27" s="1" t="s">
        <v>181</v>
      </c>
      <c r="J27" s="1" t="s">
        <v>191</v>
      </c>
      <c r="K27" s="1" t="s">
        <v>218</v>
      </c>
      <c r="L27" s="1">
        <f>Tabella13[[#This Row],[date_end]]-Tabella13[[#This Row],[date_start]]</f>
        <v>5571</v>
      </c>
    </row>
    <row r="28" spans="1:12" x14ac:dyDescent="0.2">
      <c r="A28" s="1" t="s">
        <v>34</v>
      </c>
      <c r="B28" s="2">
        <v>33443</v>
      </c>
      <c r="C28" s="2">
        <v>35430</v>
      </c>
      <c r="D28" s="1">
        <v>1991</v>
      </c>
      <c r="E28" s="1">
        <v>1996</v>
      </c>
      <c r="F28" s="1">
        <v>1991</v>
      </c>
      <c r="G28" s="1">
        <v>2006</v>
      </c>
      <c r="H28" s="1">
        <v>0</v>
      </c>
      <c r="I28" s="1" t="s">
        <v>224</v>
      </c>
      <c r="J28" s="1" t="s">
        <v>194</v>
      </c>
      <c r="K28" s="1" t="s">
        <v>21</v>
      </c>
      <c r="L28" s="1">
        <f>Tabella13[[#This Row],[date_end]]-Tabella13[[#This Row],[date_start]]</f>
        <v>1987</v>
      </c>
    </row>
    <row r="29" spans="1:12" x14ac:dyDescent="0.2">
      <c r="A29" s="1" t="s">
        <v>32</v>
      </c>
      <c r="B29" s="2">
        <v>33445</v>
      </c>
      <c r="C29" s="2">
        <v>34973</v>
      </c>
      <c r="D29" s="1">
        <v>1991</v>
      </c>
      <c r="E29" s="1">
        <v>1995</v>
      </c>
      <c r="F29" s="1">
        <v>1991</v>
      </c>
      <c r="G29" s="1">
        <v>1995</v>
      </c>
      <c r="H29" s="1">
        <v>0</v>
      </c>
      <c r="I29" s="1" t="s">
        <v>180</v>
      </c>
      <c r="J29" s="1" t="s">
        <v>184</v>
      </c>
      <c r="K29" s="1" t="s">
        <v>33</v>
      </c>
      <c r="L29" s="1">
        <f>Tabella13[[#This Row],[date_end]]-Tabella13[[#This Row],[date_start]]</f>
        <v>1528</v>
      </c>
    </row>
    <row r="30" spans="1:12" x14ac:dyDescent="0.2">
      <c r="A30" s="1" t="s">
        <v>30</v>
      </c>
      <c r="B30" s="2">
        <v>33497</v>
      </c>
      <c r="C30" s="2">
        <v>34306</v>
      </c>
      <c r="D30" s="1">
        <v>1991</v>
      </c>
      <c r="E30" s="1">
        <v>1993</v>
      </c>
      <c r="F30" s="1"/>
      <c r="G30" s="1"/>
      <c r="H30" s="1"/>
      <c r="I30" s="1" t="s">
        <v>182</v>
      </c>
      <c r="J30" s="1" t="s">
        <v>191</v>
      </c>
      <c r="K30" s="1" t="s">
        <v>31</v>
      </c>
      <c r="L30" s="1">
        <f>Tabella13[[#This Row],[date_end]]-Tabella13[[#This Row],[date_start]]</f>
        <v>809</v>
      </c>
    </row>
    <row r="31" spans="1:12" x14ac:dyDescent="0.2">
      <c r="A31" s="1" t="s">
        <v>37</v>
      </c>
      <c r="B31" s="2">
        <v>33508</v>
      </c>
      <c r="C31" s="2">
        <v>45657</v>
      </c>
      <c r="D31" s="1">
        <v>1991</v>
      </c>
      <c r="E31" s="1" t="s">
        <v>209</v>
      </c>
      <c r="F31" s="1"/>
      <c r="G31" s="1"/>
      <c r="H31" s="1"/>
      <c r="I31" s="1" t="s">
        <v>180</v>
      </c>
      <c r="J31" s="1" t="s">
        <v>251</v>
      </c>
      <c r="K31" s="1" t="s">
        <v>199</v>
      </c>
      <c r="L31" s="1">
        <f>Tabella13[[#This Row],[date_end]]-Tabella13[[#This Row],[date_start]]</f>
        <v>12149</v>
      </c>
    </row>
    <row r="32" spans="1:12" x14ac:dyDescent="0.2">
      <c r="A32" s="1" t="s">
        <v>169</v>
      </c>
      <c r="B32" s="2">
        <v>33795</v>
      </c>
      <c r="C32" s="2">
        <v>34135</v>
      </c>
      <c r="D32" s="1">
        <v>1992</v>
      </c>
      <c r="E32" s="1">
        <v>1993</v>
      </c>
      <c r="F32" s="1">
        <v>1992</v>
      </c>
      <c r="G32" s="1">
        <v>1993</v>
      </c>
      <c r="H32" s="1">
        <v>0</v>
      </c>
      <c r="I32" s="1" t="s">
        <v>38</v>
      </c>
      <c r="J32" s="1" t="s">
        <v>191</v>
      </c>
      <c r="K32" s="1" t="s">
        <v>192</v>
      </c>
      <c r="L32" s="1">
        <f>Tabella13[[#This Row],[date_end]]-Tabella13[[#This Row],[date_start]]</f>
        <v>340</v>
      </c>
    </row>
    <row r="33" spans="1:12" x14ac:dyDescent="0.2">
      <c r="A33" s="1" t="s">
        <v>39</v>
      </c>
      <c r="B33" s="2">
        <v>33808</v>
      </c>
      <c r="C33" s="2">
        <v>34172</v>
      </c>
      <c r="D33" s="1">
        <v>1992</v>
      </c>
      <c r="E33" s="1">
        <v>1993</v>
      </c>
      <c r="F33" s="1">
        <v>1992</v>
      </c>
      <c r="G33" s="1">
        <v>1993</v>
      </c>
      <c r="H33" s="1">
        <v>0</v>
      </c>
      <c r="I33" s="1" t="s">
        <v>180</v>
      </c>
      <c r="J33" s="1" t="s">
        <v>6</v>
      </c>
      <c r="K33" s="1" t="s">
        <v>190</v>
      </c>
      <c r="L33" s="1">
        <f>Tabella13[[#This Row],[date_end]]-Tabella13[[#This Row],[date_start]]</f>
        <v>364</v>
      </c>
    </row>
    <row r="34" spans="1:12" x14ac:dyDescent="0.2">
      <c r="A34" s="1" t="s">
        <v>160</v>
      </c>
      <c r="B34" s="2">
        <v>33941</v>
      </c>
      <c r="C34" s="2">
        <v>34093</v>
      </c>
      <c r="D34" s="1">
        <v>1992</v>
      </c>
      <c r="E34" s="1">
        <v>1993</v>
      </c>
      <c r="F34" s="1">
        <v>1992</v>
      </c>
      <c r="G34" s="1">
        <v>1993</v>
      </c>
      <c r="H34" s="1">
        <v>0</v>
      </c>
      <c r="I34" s="1" t="s">
        <v>180</v>
      </c>
      <c r="J34" s="1" t="s">
        <v>185</v>
      </c>
      <c r="K34" s="1" t="s">
        <v>1</v>
      </c>
      <c r="L34" s="1">
        <f>Tabella13[[#This Row],[date_end]]-Tabella13[[#This Row],[date_start]]</f>
        <v>152</v>
      </c>
    </row>
    <row r="35" spans="1:12" x14ac:dyDescent="0.2">
      <c r="A35" s="1" t="s">
        <v>40</v>
      </c>
      <c r="B35" s="2">
        <v>34022</v>
      </c>
      <c r="C35" s="2">
        <v>34758</v>
      </c>
      <c r="D35" s="1">
        <v>1993</v>
      </c>
      <c r="E35" s="1">
        <v>1995</v>
      </c>
      <c r="F35" s="1">
        <v>1993</v>
      </c>
      <c r="G35" s="1">
        <v>1995</v>
      </c>
      <c r="H35" s="1">
        <v>0</v>
      </c>
      <c r="I35" s="1" t="s">
        <v>180</v>
      </c>
      <c r="J35" s="1" t="s">
        <v>185</v>
      </c>
      <c r="K35" s="1" t="s">
        <v>188</v>
      </c>
      <c r="L35" s="1">
        <f>Tabella13[[#This Row],[date_end]]-Tabella13[[#This Row],[date_start]]</f>
        <v>736</v>
      </c>
    </row>
    <row r="36" spans="1:12" x14ac:dyDescent="0.2">
      <c r="A36" s="1" t="s">
        <v>159</v>
      </c>
      <c r="B36" s="2">
        <v>34093</v>
      </c>
      <c r="C36" s="2">
        <v>34759</v>
      </c>
      <c r="D36" s="1">
        <v>1993</v>
      </c>
      <c r="E36" s="1">
        <v>1995</v>
      </c>
      <c r="F36" s="1">
        <v>1993</v>
      </c>
      <c r="G36" s="1">
        <v>1995</v>
      </c>
      <c r="H36" s="1">
        <v>0</v>
      </c>
      <c r="I36" s="1" t="s">
        <v>180</v>
      </c>
      <c r="J36" s="1" t="s">
        <v>185</v>
      </c>
      <c r="K36" s="1" t="s">
        <v>1</v>
      </c>
      <c r="L36" s="1">
        <f>Tabella13[[#This Row],[date_end]]-Tabella13[[#This Row],[date_start]]</f>
        <v>666</v>
      </c>
    </row>
    <row r="37" spans="1:12" x14ac:dyDescent="0.2">
      <c r="A37" s="1" t="s">
        <v>42</v>
      </c>
      <c r="B37" s="2">
        <v>34115</v>
      </c>
      <c r="C37" s="2">
        <v>35064</v>
      </c>
      <c r="D37" s="1">
        <v>1993</v>
      </c>
      <c r="E37" s="1">
        <v>1995</v>
      </c>
      <c r="F37" s="1">
        <v>1993</v>
      </c>
      <c r="G37" s="1">
        <v>1995</v>
      </c>
      <c r="H37" s="1">
        <v>0</v>
      </c>
      <c r="I37" s="1" t="s">
        <v>224</v>
      </c>
      <c r="J37" s="1" t="s">
        <v>191</v>
      </c>
      <c r="K37" s="1" t="s">
        <v>219</v>
      </c>
      <c r="L37" s="1">
        <f>Tabella13[[#This Row],[date_end]]-Tabella13[[#This Row],[date_start]]</f>
        <v>949</v>
      </c>
    </row>
    <row r="38" spans="1:12" x14ac:dyDescent="0.2">
      <c r="A38" s="1" t="s">
        <v>211</v>
      </c>
      <c r="B38" s="2">
        <v>34135</v>
      </c>
      <c r="C38" s="2">
        <v>35235</v>
      </c>
      <c r="D38" s="1">
        <v>1993</v>
      </c>
      <c r="E38" s="1">
        <v>1996</v>
      </c>
      <c r="F38" s="1">
        <v>1993</v>
      </c>
      <c r="G38" s="1">
        <v>1996</v>
      </c>
      <c r="H38" s="1">
        <v>0</v>
      </c>
      <c r="I38" s="1" t="s">
        <v>38</v>
      </c>
      <c r="J38" s="1" t="s">
        <v>191</v>
      </c>
      <c r="K38" s="1" t="s">
        <v>192</v>
      </c>
      <c r="L38" s="1">
        <f>Tabella13[[#This Row],[date_end]]-Tabella13[[#This Row],[date_start]]</f>
        <v>1100</v>
      </c>
    </row>
    <row r="39" spans="1:12" x14ac:dyDescent="0.2">
      <c r="A39" s="1" t="s">
        <v>41</v>
      </c>
      <c r="B39" s="2">
        <v>34150</v>
      </c>
      <c r="C39" s="2">
        <v>35053</v>
      </c>
      <c r="D39" s="1">
        <v>1993</v>
      </c>
      <c r="E39" s="1">
        <v>1995</v>
      </c>
      <c r="F39" s="1">
        <v>1993</v>
      </c>
      <c r="G39" s="1">
        <v>1995</v>
      </c>
      <c r="H39" s="1">
        <v>0</v>
      </c>
      <c r="I39" s="1" t="s">
        <v>38</v>
      </c>
      <c r="J39" s="1" t="s">
        <v>191</v>
      </c>
      <c r="K39" s="1" t="s">
        <v>193</v>
      </c>
      <c r="L39" s="1">
        <f>Tabella13[[#This Row],[date_end]]-Tabella13[[#This Row],[date_start]]</f>
        <v>903</v>
      </c>
    </row>
    <row r="40" spans="1:12" x14ac:dyDescent="0.2">
      <c r="A40" s="1" t="s">
        <v>43</v>
      </c>
      <c r="B40" s="2">
        <v>34403</v>
      </c>
      <c r="C40" s="2">
        <v>34413</v>
      </c>
      <c r="D40" s="1">
        <v>1994</v>
      </c>
      <c r="E40" s="1">
        <v>1994</v>
      </c>
      <c r="F40" s="1"/>
      <c r="G40" s="1"/>
      <c r="H40" s="1"/>
      <c r="I40" s="1" t="s">
        <v>182</v>
      </c>
      <c r="J40" s="1" t="s">
        <v>185</v>
      </c>
      <c r="K40" s="1" t="s">
        <v>44</v>
      </c>
      <c r="L40" s="1">
        <f>Tabella13[[#This Row],[date_end]]-Tabella13[[#This Row],[date_start]]</f>
        <v>10</v>
      </c>
    </row>
    <row r="41" spans="1:12" x14ac:dyDescent="0.2">
      <c r="A41" s="1" t="s">
        <v>45</v>
      </c>
      <c r="B41" s="2">
        <v>34462</v>
      </c>
      <c r="C41" s="2">
        <v>34554</v>
      </c>
      <c r="D41" s="1">
        <v>1994</v>
      </c>
      <c r="E41" s="1">
        <v>1994</v>
      </c>
      <c r="F41" s="1">
        <v>1994</v>
      </c>
      <c r="G41" s="1">
        <v>1994</v>
      </c>
      <c r="H41" s="1">
        <v>0</v>
      </c>
      <c r="I41" s="1" t="s">
        <v>224</v>
      </c>
      <c r="J41" s="1" t="s">
        <v>194</v>
      </c>
      <c r="K41" s="1" t="s">
        <v>196</v>
      </c>
      <c r="L41" s="1">
        <f>Tabella13[[#This Row],[date_end]]-Tabella13[[#This Row],[date_start]]</f>
        <v>92</v>
      </c>
    </row>
    <row r="42" spans="1:12" x14ac:dyDescent="0.2">
      <c r="A42" s="1" t="s">
        <v>47</v>
      </c>
      <c r="B42" s="2">
        <v>34709</v>
      </c>
      <c r="C42" s="2">
        <v>34783</v>
      </c>
      <c r="D42" s="1">
        <v>1995</v>
      </c>
      <c r="E42" s="1">
        <v>1995</v>
      </c>
      <c r="F42" s="1">
        <v>1995</v>
      </c>
      <c r="G42" s="1">
        <v>1995</v>
      </c>
      <c r="H42" s="1">
        <v>0</v>
      </c>
      <c r="I42" s="1" t="s">
        <v>180</v>
      </c>
      <c r="J42" s="1" t="s">
        <v>185</v>
      </c>
      <c r="K42" s="1" t="s">
        <v>1</v>
      </c>
      <c r="L42" s="1">
        <f>Tabella13[[#This Row],[date_end]]-Tabella13[[#This Row],[date_start]]</f>
        <v>74</v>
      </c>
    </row>
    <row r="43" spans="1:12" x14ac:dyDescent="0.2">
      <c r="A43" s="1" t="s">
        <v>48</v>
      </c>
      <c r="B43" s="2">
        <v>34766</v>
      </c>
      <c r="C43" s="2">
        <v>35360</v>
      </c>
      <c r="D43" s="1">
        <v>1995</v>
      </c>
      <c r="E43" s="1">
        <v>1996</v>
      </c>
      <c r="F43" s="1"/>
      <c r="G43" s="1"/>
      <c r="H43" s="1"/>
      <c r="I43" s="1" t="s">
        <v>182</v>
      </c>
      <c r="J43" s="1" t="s">
        <v>191</v>
      </c>
      <c r="K43" s="1" t="s">
        <v>193</v>
      </c>
      <c r="L43" s="1">
        <f>Tabella13[[#This Row],[date_end]]-Tabella13[[#This Row],[date_start]]</f>
        <v>594</v>
      </c>
    </row>
    <row r="44" spans="1:12" x14ac:dyDescent="0.2">
      <c r="A44" s="1" t="s">
        <v>52</v>
      </c>
      <c r="B44" s="2">
        <v>34897</v>
      </c>
      <c r="C44" s="2">
        <v>37118</v>
      </c>
      <c r="D44" s="1">
        <v>1995</v>
      </c>
      <c r="E44" s="1">
        <v>2001</v>
      </c>
      <c r="F44" s="1">
        <v>1994</v>
      </c>
      <c r="G44" s="1">
        <v>2001</v>
      </c>
      <c r="H44" s="1">
        <v>0</v>
      </c>
      <c r="I44" s="1" t="s">
        <v>180</v>
      </c>
      <c r="J44" s="1" t="s">
        <v>184</v>
      </c>
      <c r="K44" s="1" t="s">
        <v>53</v>
      </c>
      <c r="L44" s="1">
        <f>Tabella13[[#This Row],[date_end]]-Tabella13[[#This Row],[date_start]]</f>
        <v>2221</v>
      </c>
    </row>
    <row r="45" spans="1:12" x14ac:dyDescent="0.2">
      <c r="A45" s="1" t="s">
        <v>49</v>
      </c>
      <c r="B45" s="2">
        <v>34935</v>
      </c>
      <c r="C45" s="2">
        <v>35429</v>
      </c>
      <c r="D45" s="1">
        <v>1995</v>
      </c>
      <c r="E45" s="1">
        <v>1996</v>
      </c>
      <c r="F45" s="1">
        <v>1995</v>
      </c>
      <c r="G45" s="1">
        <v>1997</v>
      </c>
      <c r="H45" s="1">
        <v>1</v>
      </c>
      <c r="I45" s="1" t="s">
        <v>180</v>
      </c>
      <c r="J45" s="1" t="s">
        <v>185</v>
      </c>
      <c r="K45" s="1" t="s">
        <v>50</v>
      </c>
      <c r="L45" s="1">
        <f>Tabella13[[#This Row],[date_end]]-Tabella13[[#This Row],[date_start]]</f>
        <v>494</v>
      </c>
    </row>
    <row r="46" spans="1:12" x14ac:dyDescent="0.2">
      <c r="A46" s="1" t="s">
        <v>46</v>
      </c>
      <c r="B46" s="2">
        <v>34946</v>
      </c>
      <c r="C46" s="2">
        <v>34962</v>
      </c>
      <c r="D46" s="1">
        <v>1995</v>
      </c>
      <c r="E46" s="1">
        <v>1995</v>
      </c>
      <c r="F46" s="1">
        <v>1995</v>
      </c>
      <c r="G46" s="1">
        <v>1995</v>
      </c>
      <c r="H46" s="1">
        <v>0</v>
      </c>
      <c r="I46" s="1" t="s">
        <v>38</v>
      </c>
      <c r="J46" s="1" t="s">
        <v>191</v>
      </c>
      <c r="K46" s="1" t="s">
        <v>193</v>
      </c>
      <c r="L46" s="1">
        <f>Tabella13[[#This Row],[date_end]]-Tabella13[[#This Row],[date_start]]</f>
        <v>16</v>
      </c>
    </row>
    <row r="47" spans="1:12" x14ac:dyDescent="0.2">
      <c r="A47" s="1" t="s">
        <v>51</v>
      </c>
      <c r="B47" s="2">
        <v>35061</v>
      </c>
      <c r="C47" s="2">
        <v>35419</v>
      </c>
      <c r="D47" s="1">
        <v>1995</v>
      </c>
      <c r="E47" s="1">
        <v>1996</v>
      </c>
      <c r="F47" s="1">
        <v>1995</v>
      </c>
      <c r="G47" s="1">
        <v>1996</v>
      </c>
      <c r="H47" s="1">
        <v>1</v>
      </c>
      <c r="I47" s="1" t="s">
        <v>38</v>
      </c>
      <c r="J47" s="1" t="s">
        <v>191</v>
      </c>
      <c r="K47" s="1" t="s">
        <v>193</v>
      </c>
      <c r="L47" s="1">
        <f>Tabella13[[#This Row],[date_end]]-Tabella13[[#This Row],[date_start]]</f>
        <v>358</v>
      </c>
    </row>
    <row r="48" spans="1:12" x14ac:dyDescent="0.2">
      <c r="A48" s="1" t="s">
        <v>60</v>
      </c>
      <c r="B48" s="2">
        <v>35093</v>
      </c>
      <c r="C48" s="2">
        <v>43555</v>
      </c>
      <c r="D48" s="1">
        <v>1996</v>
      </c>
      <c r="E48" s="1">
        <v>2019</v>
      </c>
      <c r="F48" s="1">
        <v>1996</v>
      </c>
      <c r="G48" s="1">
        <v>2019</v>
      </c>
      <c r="H48" s="1">
        <v>0</v>
      </c>
      <c r="I48" s="1" t="s">
        <v>224</v>
      </c>
      <c r="J48" s="1" t="s">
        <v>194</v>
      </c>
      <c r="K48" s="1" t="s">
        <v>196</v>
      </c>
      <c r="L48" s="1">
        <f>Tabella13[[#This Row],[date_end]]-Tabella13[[#This Row],[date_start]]</f>
        <v>8462</v>
      </c>
    </row>
    <row r="49" spans="1:12" x14ac:dyDescent="0.2">
      <c r="A49" s="1" t="s">
        <v>56</v>
      </c>
      <c r="B49" s="2">
        <v>35419</v>
      </c>
      <c r="C49" s="2">
        <v>38322</v>
      </c>
      <c r="D49" s="1">
        <v>1996</v>
      </c>
      <c r="E49" s="1">
        <v>2004</v>
      </c>
      <c r="F49" s="1">
        <v>1996</v>
      </c>
      <c r="G49" s="1">
        <v>2004</v>
      </c>
      <c r="H49" s="1">
        <v>0</v>
      </c>
      <c r="I49" s="1" t="s">
        <v>38</v>
      </c>
      <c r="J49" s="1" t="s">
        <v>191</v>
      </c>
      <c r="K49" s="1" t="s">
        <v>57</v>
      </c>
      <c r="L49" s="1">
        <f>Tabella13[[#This Row],[date_end]]-Tabella13[[#This Row],[date_start]]</f>
        <v>2903</v>
      </c>
    </row>
    <row r="50" spans="1:12" x14ac:dyDescent="0.2">
      <c r="A50" s="1" t="s">
        <v>54</v>
      </c>
      <c r="B50" s="2">
        <v>35533</v>
      </c>
      <c r="C50" s="2">
        <v>35654</v>
      </c>
      <c r="D50" s="1">
        <v>1997</v>
      </c>
      <c r="E50" s="1">
        <v>1997</v>
      </c>
      <c r="F50" s="1">
        <v>1997</v>
      </c>
      <c r="G50" s="1">
        <v>1997</v>
      </c>
      <c r="H50" s="1">
        <v>0</v>
      </c>
      <c r="I50" s="1" t="s">
        <v>224</v>
      </c>
      <c r="J50" s="1" t="s">
        <v>191</v>
      </c>
      <c r="K50" s="1" t="s">
        <v>31</v>
      </c>
      <c r="L50" s="1">
        <f>Tabella13[[#This Row],[date_end]]-Tabella13[[#This Row],[date_start]]</f>
        <v>121</v>
      </c>
    </row>
    <row r="51" spans="1:12" x14ac:dyDescent="0.2">
      <c r="A51" s="1" t="s">
        <v>58</v>
      </c>
      <c r="B51" s="2">
        <v>35535</v>
      </c>
      <c r="C51" s="2">
        <v>39994</v>
      </c>
      <c r="D51" s="1">
        <v>1997</v>
      </c>
      <c r="E51" s="1">
        <v>2009</v>
      </c>
      <c r="F51" s="1"/>
      <c r="G51" s="1"/>
      <c r="H51" s="1"/>
      <c r="I51" s="1" t="s">
        <v>182</v>
      </c>
      <c r="J51" s="1" t="s">
        <v>191</v>
      </c>
      <c r="K51" s="1" t="s">
        <v>31</v>
      </c>
      <c r="L51" s="1">
        <f>Tabella13[[#This Row],[date_end]]-Tabella13[[#This Row],[date_start]]</f>
        <v>4459</v>
      </c>
    </row>
    <row r="52" spans="1:12" x14ac:dyDescent="0.2">
      <c r="A52" s="1" t="s">
        <v>55</v>
      </c>
      <c r="B52" s="2">
        <v>35562</v>
      </c>
      <c r="C52" s="2">
        <v>37062</v>
      </c>
      <c r="D52" s="1">
        <v>1997</v>
      </c>
      <c r="E52" s="1">
        <v>2001</v>
      </c>
      <c r="F52" s="1"/>
      <c r="G52" s="1"/>
      <c r="H52" s="1"/>
      <c r="I52" s="1" t="s">
        <v>182</v>
      </c>
      <c r="J52" s="1" t="s">
        <v>191</v>
      </c>
      <c r="K52" s="1" t="s">
        <v>31</v>
      </c>
      <c r="L52" s="1">
        <f>Tabella13[[#This Row],[date_end]]-Tabella13[[#This Row],[date_start]]</f>
        <v>1500</v>
      </c>
    </row>
    <row r="53" spans="1:12" x14ac:dyDescent="0.2">
      <c r="A53" s="1" t="s">
        <v>72</v>
      </c>
      <c r="B53" s="2">
        <v>35577</v>
      </c>
      <c r="C53" s="2">
        <v>37621</v>
      </c>
      <c r="D53" s="1">
        <v>1997</v>
      </c>
      <c r="E53" s="1">
        <v>2002</v>
      </c>
      <c r="F53" s="1">
        <v>1997</v>
      </c>
      <c r="G53" s="1">
        <v>2002</v>
      </c>
      <c r="H53" s="1">
        <v>0</v>
      </c>
      <c r="I53" s="1" t="s">
        <v>180</v>
      </c>
      <c r="J53" s="1" t="s">
        <v>191</v>
      </c>
      <c r="K53" s="1" t="s">
        <v>193</v>
      </c>
      <c r="L53" s="1">
        <f>Tabella13[[#This Row],[date_end]]-Tabella13[[#This Row],[date_start]]</f>
        <v>2044</v>
      </c>
    </row>
    <row r="54" spans="1:12" x14ac:dyDescent="0.2">
      <c r="A54" s="1" t="s">
        <v>59</v>
      </c>
      <c r="B54" s="2">
        <v>35714</v>
      </c>
      <c r="C54" s="2">
        <v>41274</v>
      </c>
      <c r="D54" s="1">
        <v>1997</v>
      </c>
      <c r="E54" s="1">
        <v>2012</v>
      </c>
      <c r="F54" s="1"/>
      <c r="G54" s="1"/>
      <c r="H54" s="1"/>
      <c r="I54" s="1" t="s">
        <v>182</v>
      </c>
      <c r="J54" s="1" t="s">
        <v>191</v>
      </c>
      <c r="K54" s="1" t="s">
        <v>31</v>
      </c>
      <c r="L54" s="1">
        <f>Tabella13[[#This Row],[date_end]]-Tabella13[[#This Row],[date_start]]</f>
        <v>5560</v>
      </c>
    </row>
    <row r="55" spans="1:12" x14ac:dyDescent="0.2">
      <c r="A55" s="1" t="s">
        <v>61</v>
      </c>
      <c r="B55" s="2">
        <v>36126</v>
      </c>
      <c r="C55" s="2">
        <v>36243</v>
      </c>
      <c r="D55" s="1">
        <v>1998</v>
      </c>
      <c r="E55" s="1">
        <v>1999</v>
      </c>
      <c r="F55" s="1">
        <v>1998</v>
      </c>
      <c r="G55" s="1">
        <v>1999</v>
      </c>
      <c r="H55" s="1">
        <v>0</v>
      </c>
      <c r="I55" s="1" t="s">
        <v>38</v>
      </c>
      <c r="J55" s="1" t="s">
        <v>191</v>
      </c>
      <c r="K55" s="1" t="s">
        <v>57</v>
      </c>
      <c r="L55" s="1">
        <f>Tabella13[[#This Row],[date_end]]-Tabella13[[#This Row],[date_start]]</f>
        <v>117</v>
      </c>
    </row>
    <row r="56" spans="1:12" x14ac:dyDescent="0.2">
      <c r="A56" s="1" t="s">
        <v>62</v>
      </c>
      <c r="B56" s="2">
        <v>36138</v>
      </c>
      <c r="C56" s="2">
        <v>36220</v>
      </c>
      <c r="D56" s="1">
        <v>1998</v>
      </c>
      <c r="E56" s="1">
        <v>1999</v>
      </c>
      <c r="F56" s="1">
        <v>1998</v>
      </c>
      <c r="G56" s="1">
        <v>1999</v>
      </c>
      <c r="H56" s="1">
        <v>0</v>
      </c>
      <c r="I56" s="1" t="s">
        <v>38</v>
      </c>
      <c r="J56" s="1" t="s">
        <v>191</v>
      </c>
      <c r="K56" s="1" t="s">
        <v>63</v>
      </c>
      <c r="L56" s="1">
        <f>Tabella13[[#This Row],[date_end]]-Tabella13[[#This Row],[date_start]]</f>
        <v>82</v>
      </c>
    </row>
    <row r="57" spans="1:12" x14ac:dyDescent="0.2">
      <c r="A57" s="1" t="s">
        <v>64</v>
      </c>
      <c r="B57" s="2">
        <v>36243</v>
      </c>
      <c r="C57" s="2">
        <v>36321</v>
      </c>
      <c r="D57" s="1">
        <v>1999</v>
      </c>
      <c r="E57" s="1">
        <v>1999</v>
      </c>
      <c r="F57" s="1">
        <v>1998</v>
      </c>
      <c r="G57" s="1">
        <v>1999</v>
      </c>
      <c r="H57" s="1">
        <v>0</v>
      </c>
      <c r="I57" s="1" t="s">
        <v>38</v>
      </c>
      <c r="J57" s="1" t="s">
        <v>191</v>
      </c>
      <c r="K57" s="1" t="s">
        <v>57</v>
      </c>
      <c r="L57" s="1">
        <f>Tabella13[[#This Row],[date_end]]-Tabella13[[#This Row],[date_start]]</f>
        <v>78</v>
      </c>
    </row>
    <row r="58" spans="1:12" x14ac:dyDescent="0.2">
      <c r="A58" s="1" t="s">
        <v>65</v>
      </c>
      <c r="B58" s="2">
        <v>36261</v>
      </c>
      <c r="C58" s="2">
        <v>36403</v>
      </c>
      <c r="D58" s="1">
        <v>1999</v>
      </c>
      <c r="E58" s="1">
        <v>1999</v>
      </c>
      <c r="F58" s="1">
        <v>1999</v>
      </c>
      <c r="G58" s="1">
        <v>1999</v>
      </c>
      <c r="H58" s="1">
        <v>0</v>
      </c>
      <c r="I58" s="1" t="s">
        <v>38</v>
      </c>
      <c r="J58" s="1" t="s">
        <v>191</v>
      </c>
      <c r="K58" s="1" t="s">
        <v>31</v>
      </c>
      <c r="L58" s="1">
        <f>Tabella13[[#This Row],[date_end]]-Tabella13[[#This Row],[date_start]]</f>
        <v>142</v>
      </c>
    </row>
    <row r="59" spans="1:12" x14ac:dyDescent="0.2">
      <c r="A59" s="1" t="s">
        <v>66</v>
      </c>
      <c r="B59" s="2">
        <v>36291</v>
      </c>
      <c r="C59" s="2">
        <v>36773</v>
      </c>
      <c r="D59" s="1">
        <v>1999</v>
      </c>
      <c r="E59" s="1">
        <v>2000</v>
      </c>
      <c r="F59" s="1">
        <v>1999</v>
      </c>
      <c r="G59" s="1">
        <v>2000</v>
      </c>
      <c r="H59" s="1">
        <v>0</v>
      </c>
      <c r="I59" s="1" t="s">
        <v>38</v>
      </c>
      <c r="J59" s="1" t="s">
        <v>191</v>
      </c>
      <c r="K59" s="1" t="s">
        <v>192</v>
      </c>
      <c r="L59" s="1">
        <f>Tabella13[[#This Row],[date_end]]-Tabella13[[#This Row],[date_start]]</f>
        <v>482</v>
      </c>
    </row>
    <row r="60" spans="1:12" x14ac:dyDescent="0.2">
      <c r="A60" s="1" t="s">
        <v>69</v>
      </c>
      <c r="B60" s="2">
        <v>36324</v>
      </c>
      <c r="C60" s="2">
        <v>45657</v>
      </c>
      <c r="D60" s="1">
        <v>1999</v>
      </c>
      <c r="E60" s="1" t="s">
        <v>209</v>
      </c>
      <c r="F60" s="1">
        <v>1999</v>
      </c>
      <c r="G60" s="1" t="s">
        <v>209</v>
      </c>
      <c r="H60" s="1">
        <v>0</v>
      </c>
      <c r="I60" s="1" t="s">
        <v>38</v>
      </c>
      <c r="J60" s="1" t="s">
        <v>191</v>
      </c>
      <c r="K60" s="1" t="s">
        <v>57</v>
      </c>
      <c r="L60" s="1">
        <f>Tabella13[[#This Row],[date_end]]-Tabella13[[#This Row],[date_start]]</f>
        <v>9333</v>
      </c>
    </row>
    <row r="61" spans="1:12" x14ac:dyDescent="0.2">
      <c r="A61" s="1" t="s">
        <v>68</v>
      </c>
      <c r="B61" s="2">
        <v>36343</v>
      </c>
      <c r="C61" s="2">
        <v>39850</v>
      </c>
      <c r="D61" s="1">
        <v>1999</v>
      </c>
      <c r="E61" s="1">
        <v>2009</v>
      </c>
      <c r="F61" s="1">
        <v>1999</v>
      </c>
      <c r="G61" s="1" t="s">
        <v>209</v>
      </c>
      <c r="H61" s="1">
        <v>1</v>
      </c>
      <c r="I61" s="1" t="s">
        <v>180</v>
      </c>
      <c r="J61" s="1" t="s">
        <v>191</v>
      </c>
      <c r="K61" s="1" t="s">
        <v>57</v>
      </c>
      <c r="L61" s="1">
        <f>Tabella13[[#This Row],[date_end]]-Tabella13[[#This Row],[date_start]]</f>
        <v>3507</v>
      </c>
    </row>
    <row r="62" spans="1:12" x14ac:dyDescent="0.2">
      <c r="A62" s="1" t="s">
        <v>67</v>
      </c>
      <c r="B62" s="2">
        <v>36423</v>
      </c>
      <c r="C62" s="2">
        <v>36584</v>
      </c>
      <c r="D62" s="1">
        <v>1999</v>
      </c>
      <c r="E62" s="1">
        <v>2000</v>
      </c>
      <c r="F62" s="1">
        <v>1999</v>
      </c>
      <c r="G62" s="1">
        <v>2000</v>
      </c>
      <c r="H62" s="1">
        <v>0</v>
      </c>
      <c r="I62" s="1" t="s">
        <v>38</v>
      </c>
      <c r="J62" s="1" t="s">
        <v>6</v>
      </c>
      <c r="K62" s="1" t="s">
        <v>189</v>
      </c>
      <c r="L62" s="1">
        <f>Tabella13[[#This Row],[date_end]]-Tabella13[[#This Row],[date_start]]</f>
        <v>161</v>
      </c>
    </row>
    <row r="63" spans="1:12" x14ac:dyDescent="0.2">
      <c r="A63" s="1" t="s">
        <v>170</v>
      </c>
      <c r="B63" s="2">
        <v>36509</v>
      </c>
      <c r="C63" s="2">
        <v>37876</v>
      </c>
      <c r="D63" s="1">
        <v>1999</v>
      </c>
      <c r="E63" s="1">
        <v>2003</v>
      </c>
      <c r="F63" s="1">
        <v>1999</v>
      </c>
      <c r="G63" s="1" t="s">
        <v>209</v>
      </c>
      <c r="H63" s="1">
        <v>1</v>
      </c>
      <c r="I63" s="1" t="s">
        <v>180</v>
      </c>
      <c r="J63" s="1" t="s">
        <v>185</v>
      </c>
      <c r="K63" s="1" t="s">
        <v>214</v>
      </c>
      <c r="L63" s="1">
        <f>Tabella13[[#This Row],[date_end]]-Tabella13[[#This Row],[date_start]]</f>
        <v>1367</v>
      </c>
    </row>
    <row r="64" spans="1:12" x14ac:dyDescent="0.2">
      <c r="A64" s="1" t="s">
        <v>70</v>
      </c>
      <c r="B64" s="2">
        <v>36601</v>
      </c>
      <c r="C64" s="2">
        <v>38014</v>
      </c>
      <c r="D64" s="1">
        <v>2000</v>
      </c>
      <c r="E64" s="1">
        <v>2004</v>
      </c>
      <c r="F64" s="1"/>
      <c r="G64" s="1"/>
      <c r="H64" s="1"/>
      <c r="I64" s="1" t="s">
        <v>182</v>
      </c>
      <c r="J64" s="1" t="s">
        <v>191</v>
      </c>
      <c r="K64" s="1" t="s">
        <v>31</v>
      </c>
      <c r="L64" s="1">
        <f>Tabella13[[#This Row],[date_end]]-Tabella13[[#This Row],[date_start]]</f>
        <v>1413</v>
      </c>
    </row>
    <row r="65" spans="1:12" x14ac:dyDescent="0.2">
      <c r="A65" s="1" t="s">
        <v>71</v>
      </c>
      <c r="B65" s="2">
        <v>36708</v>
      </c>
      <c r="C65" s="2">
        <v>39447</v>
      </c>
      <c r="D65" s="1">
        <v>2000</v>
      </c>
      <c r="E65" s="1">
        <v>2007</v>
      </c>
      <c r="F65" s="1">
        <v>2000</v>
      </c>
      <c r="G65" s="1">
        <v>2008</v>
      </c>
      <c r="H65" s="1">
        <v>1</v>
      </c>
      <c r="I65" s="1" t="s">
        <v>180</v>
      </c>
      <c r="J65" s="1" t="s">
        <v>185</v>
      </c>
      <c r="K65" s="1" t="s">
        <v>220</v>
      </c>
      <c r="L65" s="1">
        <f>Tabella13[[#This Row],[date_end]]-Tabella13[[#This Row],[date_start]]</f>
        <v>2739</v>
      </c>
    </row>
    <row r="66" spans="1:12" x14ac:dyDescent="0.2">
      <c r="A66" s="1" t="s">
        <v>161</v>
      </c>
      <c r="B66" s="2">
        <v>37130</v>
      </c>
      <c r="C66" s="2">
        <v>37168</v>
      </c>
      <c r="D66" s="1">
        <v>2001</v>
      </c>
      <c r="E66" s="1">
        <v>2001</v>
      </c>
      <c r="F66" s="1">
        <v>2001</v>
      </c>
      <c r="G66" s="1">
        <v>2001</v>
      </c>
      <c r="H66" s="1">
        <v>0</v>
      </c>
      <c r="I66" s="1" t="s">
        <v>38</v>
      </c>
      <c r="J66" s="1" t="s">
        <v>191</v>
      </c>
      <c r="K66" s="1" t="s">
        <v>63</v>
      </c>
      <c r="L66" s="1">
        <f>Tabella13[[#This Row],[date_end]]-Tabella13[[#This Row],[date_start]]</f>
        <v>38</v>
      </c>
    </row>
    <row r="67" spans="1:12" x14ac:dyDescent="0.2">
      <c r="A67" s="1" t="s">
        <v>75</v>
      </c>
      <c r="B67" s="2">
        <v>37169</v>
      </c>
      <c r="C67" s="2">
        <v>37605</v>
      </c>
      <c r="D67" s="1">
        <v>2001</v>
      </c>
      <c r="E67" s="1">
        <v>2002</v>
      </c>
      <c r="F67" s="1">
        <v>2001</v>
      </c>
      <c r="G67" s="1">
        <v>2002</v>
      </c>
      <c r="H67" s="1">
        <v>0</v>
      </c>
      <c r="I67" s="1" t="s">
        <v>38</v>
      </c>
      <c r="J67" s="1" t="s">
        <v>191</v>
      </c>
      <c r="K67" s="1" t="s">
        <v>63</v>
      </c>
      <c r="L67" s="1">
        <f>Tabella13[[#This Row],[date_end]]-Tabella13[[#This Row],[date_start]]</f>
        <v>436</v>
      </c>
    </row>
    <row r="68" spans="1:12" x14ac:dyDescent="0.2">
      <c r="A68" s="1" t="s">
        <v>74</v>
      </c>
      <c r="B68" s="2">
        <v>37190</v>
      </c>
      <c r="C68" s="2">
        <v>42674</v>
      </c>
      <c r="D68" s="1">
        <v>2001</v>
      </c>
      <c r="E68" s="1">
        <v>2016</v>
      </c>
      <c r="F68" s="1">
        <v>2001</v>
      </c>
      <c r="G68" s="1">
        <v>2016</v>
      </c>
      <c r="H68" s="1">
        <v>0</v>
      </c>
      <c r="I68" s="1" t="s">
        <v>38</v>
      </c>
      <c r="J68" s="1" t="s">
        <v>251</v>
      </c>
      <c r="K68" s="1" t="s">
        <v>200</v>
      </c>
      <c r="L68" s="1">
        <f>Tabella13[[#This Row],[date_end]]-Tabella13[[#This Row],[date_start]]</f>
        <v>5484</v>
      </c>
    </row>
    <row r="69" spans="1:12" x14ac:dyDescent="0.2">
      <c r="A69" s="1" t="s">
        <v>73</v>
      </c>
      <c r="B69" s="2">
        <v>37213</v>
      </c>
      <c r="C69" s="2">
        <v>39082</v>
      </c>
      <c r="D69" s="1">
        <v>2001</v>
      </c>
      <c r="E69" s="1">
        <v>2006</v>
      </c>
      <c r="F69" s="1">
        <v>2001</v>
      </c>
      <c r="G69" s="1">
        <v>2006</v>
      </c>
      <c r="H69" s="1">
        <v>0</v>
      </c>
      <c r="I69" s="1" t="s">
        <v>224</v>
      </c>
      <c r="J69" s="1" t="s">
        <v>6</v>
      </c>
      <c r="K69" s="1" t="s">
        <v>24</v>
      </c>
      <c r="L69" s="1">
        <f>Tabella13[[#This Row],[date_end]]-Tabella13[[#This Row],[date_start]]</f>
        <v>1869</v>
      </c>
    </row>
    <row r="70" spans="1:12" x14ac:dyDescent="0.2">
      <c r="A70" s="1" t="s">
        <v>79</v>
      </c>
      <c r="B70" s="2">
        <v>37253</v>
      </c>
      <c r="C70" s="2">
        <v>42004</v>
      </c>
      <c r="D70" s="1">
        <v>2001</v>
      </c>
      <c r="E70" s="1">
        <v>2014</v>
      </c>
      <c r="F70" s="1">
        <v>2001</v>
      </c>
      <c r="G70" s="1">
        <v>2014</v>
      </c>
      <c r="H70" s="1">
        <v>0</v>
      </c>
      <c r="I70" s="1" t="s">
        <v>38</v>
      </c>
      <c r="J70" s="1" t="s">
        <v>6</v>
      </c>
      <c r="K70" s="1" t="s">
        <v>24</v>
      </c>
      <c r="L70" s="1">
        <f>Tabella13[[#This Row],[date_end]]-Tabella13[[#This Row],[date_start]]</f>
        <v>4751</v>
      </c>
    </row>
    <row r="71" spans="1:12" x14ac:dyDescent="0.2">
      <c r="A71" s="1" t="s">
        <v>84</v>
      </c>
      <c r="B71" s="2">
        <v>37347</v>
      </c>
      <c r="C71" s="2">
        <v>39447</v>
      </c>
      <c r="D71" s="1">
        <v>2002</v>
      </c>
      <c r="E71" s="1">
        <v>2007</v>
      </c>
      <c r="F71" s="1">
        <v>2002</v>
      </c>
      <c r="G71" s="1">
        <v>2007</v>
      </c>
      <c r="H71" s="1">
        <v>0</v>
      </c>
      <c r="I71" s="1" t="s">
        <v>180</v>
      </c>
      <c r="J71" s="1" t="s">
        <v>185</v>
      </c>
      <c r="K71" s="1" t="s">
        <v>77</v>
      </c>
      <c r="L71" s="1">
        <f>Tabella13[[#This Row],[date_end]]-Tabella13[[#This Row],[date_start]]</f>
        <v>2100</v>
      </c>
    </row>
    <row r="72" spans="1:12" x14ac:dyDescent="0.2">
      <c r="A72" s="1" t="s">
        <v>78</v>
      </c>
      <c r="B72" s="2">
        <v>37424</v>
      </c>
      <c r="C72" s="2">
        <v>40908</v>
      </c>
      <c r="D72" s="1">
        <v>2002</v>
      </c>
      <c r="E72" s="1">
        <v>2011</v>
      </c>
      <c r="F72" s="1">
        <v>2002</v>
      </c>
      <c r="G72" s="1">
        <v>2011</v>
      </c>
      <c r="H72" s="1">
        <v>0</v>
      </c>
      <c r="I72" s="1" t="s">
        <v>38</v>
      </c>
      <c r="J72" s="1" t="s">
        <v>191</v>
      </c>
      <c r="K72" s="1" t="s">
        <v>31</v>
      </c>
      <c r="L72" s="1">
        <f>Tabella13[[#This Row],[date_end]]-Tabella13[[#This Row],[date_start]]</f>
        <v>3484</v>
      </c>
    </row>
    <row r="73" spans="1:12" x14ac:dyDescent="0.2">
      <c r="A73" s="1" t="s">
        <v>80</v>
      </c>
      <c r="B73" s="2">
        <v>37424</v>
      </c>
      <c r="C73" s="2">
        <v>44286</v>
      </c>
      <c r="D73" s="1">
        <v>2002</v>
      </c>
      <c r="E73" s="1">
        <v>2021</v>
      </c>
      <c r="F73" s="1"/>
      <c r="G73" s="1"/>
      <c r="H73" s="1"/>
      <c r="I73" s="1" t="s">
        <v>38</v>
      </c>
      <c r="J73" s="1" t="s">
        <v>191</v>
      </c>
      <c r="K73" s="1" t="s">
        <v>63</v>
      </c>
      <c r="L73" s="1">
        <f>Tabella13[[#This Row],[date_end]]-Tabella13[[#This Row],[date_start]]</f>
        <v>6862</v>
      </c>
    </row>
    <row r="74" spans="1:12" x14ac:dyDescent="0.2">
      <c r="A74" s="1" t="s">
        <v>81</v>
      </c>
      <c r="B74" s="2">
        <v>37606</v>
      </c>
      <c r="C74" s="2">
        <v>37710</v>
      </c>
      <c r="D74" s="1">
        <v>2002</v>
      </c>
      <c r="E74" s="1">
        <v>2003</v>
      </c>
      <c r="F74" s="1">
        <v>2002</v>
      </c>
      <c r="G74" s="1">
        <v>2003</v>
      </c>
      <c r="H74" s="1">
        <v>0</v>
      </c>
      <c r="I74" s="1" t="s">
        <v>38</v>
      </c>
      <c r="J74" s="1" t="s">
        <v>191</v>
      </c>
      <c r="K74" s="1" t="s">
        <v>63</v>
      </c>
      <c r="L74" s="1">
        <f>Tabella13[[#This Row],[date_end]]-Tabella13[[#This Row],[date_start]]</f>
        <v>104</v>
      </c>
    </row>
    <row r="75" spans="1:12" x14ac:dyDescent="0.2">
      <c r="A75" s="1" t="s">
        <v>86</v>
      </c>
      <c r="B75" s="2">
        <v>37622</v>
      </c>
      <c r="C75" s="2">
        <v>41090</v>
      </c>
      <c r="D75" s="1">
        <v>2003</v>
      </c>
      <c r="E75" s="1">
        <v>2012</v>
      </c>
      <c r="F75" s="1">
        <v>2003</v>
      </c>
      <c r="G75" s="1">
        <v>2012</v>
      </c>
      <c r="H75" s="1">
        <v>0</v>
      </c>
      <c r="I75" s="1" t="s">
        <v>181</v>
      </c>
      <c r="J75" s="1" t="s">
        <v>191</v>
      </c>
      <c r="K75" s="1" t="s">
        <v>193</v>
      </c>
      <c r="L75" s="1">
        <f>Tabella13[[#This Row],[date_end]]-Tabella13[[#This Row],[date_start]]</f>
        <v>3468</v>
      </c>
    </row>
    <row r="76" spans="1:12" x14ac:dyDescent="0.2">
      <c r="A76" s="1" t="s">
        <v>83</v>
      </c>
      <c r="B76" s="2">
        <v>37711</v>
      </c>
      <c r="C76" s="2">
        <v>37970</v>
      </c>
      <c r="D76" s="1">
        <v>2003</v>
      </c>
      <c r="E76" s="1">
        <v>2003</v>
      </c>
      <c r="F76" s="1">
        <v>2003</v>
      </c>
      <c r="G76" s="1">
        <v>2003</v>
      </c>
      <c r="H76" s="1">
        <v>0</v>
      </c>
      <c r="I76" s="1" t="s">
        <v>181</v>
      </c>
      <c r="J76" s="1" t="s">
        <v>191</v>
      </c>
      <c r="K76" s="1" t="s">
        <v>63</v>
      </c>
      <c r="L76" s="1">
        <f>Tabella13[[#This Row],[date_end]]-Tabella13[[#This Row],[date_start]]</f>
        <v>259</v>
      </c>
    </row>
    <row r="77" spans="1:12" x14ac:dyDescent="0.2">
      <c r="A77" s="1" t="s">
        <v>85</v>
      </c>
      <c r="B77" s="2">
        <v>37769</v>
      </c>
      <c r="C77" s="2">
        <v>39082</v>
      </c>
      <c r="D77" s="1">
        <v>2003</v>
      </c>
      <c r="E77" s="1">
        <v>2006</v>
      </c>
      <c r="F77" s="1">
        <v>2003</v>
      </c>
      <c r="G77" s="1">
        <v>2014</v>
      </c>
      <c r="H77" s="1">
        <v>1</v>
      </c>
      <c r="I77" s="1" t="s">
        <v>224</v>
      </c>
      <c r="J77" s="1" t="s">
        <v>194</v>
      </c>
      <c r="K77" s="1" t="s">
        <v>21</v>
      </c>
      <c r="L77" s="1">
        <f>Tabella13[[#This Row],[date_end]]-Tabella13[[#This Row],[date_start]]</f>
        <v>1313</v>
      </c>
    </row>
    <row r="78" spans="1:12" x14ac:dyDescent="0.2">
      <c r="A78" s="1" t="s">
        <v>82</v>
      </c>
      <c r="B78" s="2">
        <v>37784</v>
      </c>
      <c r="C78" s="2">
        <v>37865</v>
      </c>
      <c r="D78" s="1">
        <v>2003</v>
      </c>
      <c r="E78" s="1">
        <v>2003</v>
      </c>
      <c r="F78" s="1">
        <v>2003</v>
      </c>
      <c r="G78" s="1">
        <v>2003</v>
      </c>
      <c r="H78" s="1">
        <v>0</v>
      </c>
      <c r="I78" s="1" t="s">
        <v>181</v>
      </c>
      <c r="J78" s="1" t="s">
        <v>185</v>
      </c>
      <c r="K78" s="1" t="s">
        <v>214</v>
      </c>
      <c r="L78" s="1">
        <f>Tabella13[[#This Row],[date_end]]-Tabella13[[#This Row],[date_start]]</f>
        <v>81</v>
      </c>
    </row>
    <row r="79" spans="1:12" x14ac:dyDescent="0.2">
      <c r="A79" s="1" t="s">
        <v>87</v>
      </c>
      <c r="B79" s="2">
        <v>37880</v>
      </c>
      <c r="C79" s="2">
        <v>38700</v>
      </c>
      <c r="D79" s="1">
        <v>2003</v>
      </c>
      <c r="E79" s="1">
        <v>2005</v>
      </c>
      <c r="F79" s="1">
        <v>2003</v>
      </c>
      <c r="G79" s="1">
        <v>2005</v>
      </c>
      <c r="H79" s="1">
        <v>0</v>
      </c>
      <c r="I79" s="1" t="s">
        <v>181</v>
      </c>
      <c r="J79" s="1" t="s">
        <v>191</v>
      </c>
      <c r="K79" s="1" t="s">
        <v>63</v>
      </c>
      <c r="L79" s="1">
        <f>Tabella13[[#This Row],[date_end]]-Tabella13[[#This Row],[date_start]]</f>
        <v>820</v>
      </c>
    </row>
    <row r="80" spans="1:12" x14ac:dyDescent="0.2">
      <c r="A80" s="1" t="s">
        <v>89</v>
      </c>
      <c r="B80" s="2">
        <v>38076</v>
      </c>
      <c r="C80" s="2">
        <v>45657</v>
      </c>
      <c r="D80" s="1">
        <v>2004</v>
      </c>
      <c r="E80" s="1" t="s">
        <v>209</v>
      </c>
      <c r="F80" s="1"/>
      <c r="G80" s="1"/>
      <c r="H80" s="1"/>
      <c r="I80" s="1" t="s">
        <v>38</v>
      </c>
      <c r="J80" s="1" t="s">
        <v>203</v>
      </c>
      <c r="K80" s="1" t="s">
        <v>221</v>
      </c>
      <c r="L80" s="1">
        <f>Tabella13[[#This Row],[date_end]]-Tabella13[[#This Row],[date_start]]</f>
        <v>7581</v>
      </c>
    </row>
    <row r="81" spans="1:12" x14ac:dyDescent="0.2">
      <c r="A81" s="1" t="s">
        <v>88</v>
      </c>
      <c r="B81" s="2">
        <v>38200</v>
      </c>
      <c r="C81" s="2">
        <v>40908</v>
      </c>
      <c r="D81" s="1">
        <v>2004</v>
      </c>
      <c r="E81" s="1">
        <v>2011</v>
      </c>
      <c r="F81" s="1">
        <v>2004</v>
      </c>
      <c r="G81" s="1">
        <v>2011</v>
      </c>
      <c r="H81" s="1">
        <v>0</v>
      </c>
      <c r="I81" s="1" t="s">
        <v>38</v>
      </c>
      <c r="J81" s="1" t="s">
        <v>194</v>
      </c>
      <c r="K81" s="1" t="s">
        <v>21</v>
      </c>
      <c r="L81" s="1">
        <f>Tabella13[[#This Row],[date_end]]-Tabella13[[#This Row],[date_start]]</f>
        <v>2708</v>
      </c>
    </row>
    <row r="82" spans="1:12" x14ac:dyDescent="0.2">
      <c r="A82" s="1" t="s">
        <v>94</v>
      </c>
      <c r="B82" s="2">
        <v>38261</v>
      </c>
      <c r="C82" s="2">
        <v>38686</v>
      </c>
      <c r="D82" s="1">
        <v>2004</v>
      </c>
      <c r="E82" s="1">
        <v>2005</v>
      </c>
      <c r="F82" s="1">
        <v>2004</v>
      </c>
      <c r="G82" s="1" t="s">
        <v>209</v>
      </c>
      <c r="H82" s="1">
        <v>1</v>
      </c>
      <c r="I82" s="1" t="s">
        <v>180</v>
      </c>
      <c r="J82" s="1" t="s">
        <v>251</v>
      </c>
      <c r="K82" s="1" t="s">
        <v>199</v>
      </c>
      <c r="L82" s="1">
        <f>Tabella13[[#This Row],[date_end]]-Tabella13[[#This Row],[date_start]]</f>
        <v>425</v>
      </c>
    </row>
    <row r="83" spans="1:12" x14ac:dyDescent="0.2">
      <c r="A83" s="1" t="s">
        <v>76</v>
      </c>
      <c r="B83" s="2">
        <v>38280</v>
      </c>
      <c r="C83" s="2">
        <v>39447</v>
      </c>
      <c r="D83" s="1">
        <v>2004</v>
      </c>
      <c r="E83" s="1">
        <v>2007</v>
      </c>
      <c r="F83" s="1">
        <v>2004</v>
      </c>
      <c r="G83" s="1">
        <v>2007</v>
      </c>
      <c r="H83" s="1">
        <v>0</v>
      </c>
      <c r="I83" s="1" t="s">
        <v>181</v>
      </c>
      <c r="J83" s="1" t="s">
        <v>185</v>
      </c>
      <c r="K83" s="1" t="s">
        <v>77</v>
      </c>
      <c r="L83" s="1">
        <f>Tabella13[[#This Row],[date_end]]-Tabella13[[#This Row],[date_start]]</f>
        <v>1167</v>
      </c>
    </row>
    <row r="84" spans="1:12" x14ac:dyDescent="0.2">
      <c r="A84" s="1" t="s">
        <v>96</v>
      </c>
      <c r="B84" s="2">
        <v>38322</v>
      </c>
      <c r="C84" s="2">
        <v>45657</v>
      </c>
      <c r="D84" s="1">
        <v>2004</v>
      </c>
      <c r="E84" s="1" t="s">
        <v>209</v>
      </c>
      <c r="F84" s="1"/>
      <c r="G84" s="1"/>
      <c r="H84" s="1"/>
      <c r="I84" s="1" t="s">
        <v>38</v>
      </c>
      <c r="J84" s="1" t="s">
        <v>191</v>
      </c>
      <c r="K84" s="1" t="s">
        <v>193</v>
      </c>
      <c r="L84" s="1">
        <f>Tabella13[[#This Row],[date_end]]-Tabella13[[#This Row],[date_start]]</f>
        <v>7335</v>
      </c>
    </row>
    <row r="85" spans="1:12" x14ac:dyDescent="0.2">
      <c r="A85" s="1" t="s">
        <v>98</v>
      </c>
      <c r="B85" s="2">
        <v>38323</v>
      </c>
      <c r="C85" s="2">
        <v>45657</v>
      </c>
      <c r="D85" s="1">
        <v>2004</v>
      </c>
      <c r="E85" s="1" t="s">
        <v>209</v>
      </c>
      <c r="F85" s="1"/>
      <c r="G85" s="1"/>
      <c r="H85" s="1"/>
      <c r="I85" s="1" t="s">
        <v>181</v>
      </c>
      <c r="J85" s="1" t="s">
        <v>191</v>
      </c>
      <c r="K85" s="1" t="s">
        <v>193</v>
      </c>
      <c r="L85" s="1">
        <f>Tabella13[[#This Row],[date_end]]-Tabella13[[#This Row],[date_start]]</f>
        <v>7334</v>
      </c>
    </row>
    <row r="86" spans="1:12" x14ac:dyDescent="0.2">
      <c r="A86" s="1" t="s">
        <v>95</v>
      </c>
      <c r="B86" s="2">
        <v>38353</v>
      </c>
      <c r="C86" s="2">
        <v>39263</v>
      </c>
      <c r="D86" s="1">
        <v>2005</v>
      </c>
      <c r="E86" s="1">
        <v>2007</v>
      </c>
      <c r="F86" s="1">
        <v>2005</v>
      </c>
      <c r="G86" s="1">
        <v>2007</v>
      </c>
      <c r="H86" s="1">
        <v>0</v>
      </c>
      <c r="I86" s="1" t="s">
        <v>181</v>
      </c>
      <c r="J86" s="1" t="s">
        <v>185</v>
      </c>
      <c r="K86" s="1" t="s">
        <v>214</v>
      </c>
      <c r="L86" s="1">
        <f>Tabella13[[#This Row],[date_end]]-Tabella13[[#This Row],[date_start]]</f>
        <v>910</v>
      </c>
    </row>
    <row r="87" spans="1:12" x14ac:dyDescent="0.2">
      <c r="A87" s="1" t="s">
        <v>97</v>
      </c>
      <c r="B87" s="2">
        <v>38544</v>
      </c>
      <c r="C87" s="2">
        <v>45657</v>
      </c>
      <c r="D87" s="1">
        <v>2005</v>
      </c>
      <c r="E87" s="1" t="s">
        <v>209</v>
      </c>
      <c r="F87" s="1"/>
      <c r="G87" s="1"/>
      <c r="H87" s="1"/>
      <c r="I87" s="1" t="s">
        <v>180</v>
      </c>
      <c r="J87" s="1" t="s">
        <v>203</v>
      </c>
      <c r="K87" s="1" t="s">
        <v>205</v>
      </c>
      <c r="L87" s="1">
        <f>Tabella13[[#This Row],[date_end]]-Tabella13[[#This Row],[date_start]]</f>
        <v>7113</v>
      </c>
    </row>
    <row r="88" spans="1:12" x14ac:dyDescent="0.2">
      <c r="A88" s="1" t="s">
        <v>90</v>
      </c>
      <c r="B88" s="2">
        <v>38564</v>
      </c>
      <c r="C88" s="2">
        <v>38681</v>
      </c>
      <c r="D88" s="1">
        <v>2005</v>
      </c>
      <c r="E88" s="1">
        <v>2005</v>
      </c>
      <c r="F88" s="1"/>
      <c r="G88" s="1"/>
      <c r="H88" s="1"/>
      <c r="I88" s="1" t="s">
        <v>182</v>
      </c>
      <c r="J88" s="1" t="s">
        <v>185</v>
      </c>
      <c r="K88" s="1" t="s">
        <v>1</v>
      </c>
      <c r="L88" s="1">
        <f>Tabella13[[#This Row],[date_end]]-Tabella13[[#This Row],[date_start]]</f>
        <v>117</v>
      </c>
    </row>
    <row r="89" spans="1:12" x14ac:dyDescent="0.2">
      <c r="A89" s="1" t="s">
        <v>93</v>
      </c>
      <c r="B89" s="2">
        <v>38642</v>
      </c>
      <c r="C89" s="2">
        <v>40178</v>
      </c>
      <c r="D89" s="1">
        <v>2005</v>
      </c>
      <c r="E89" s="1">
        <v>2009</v>
      </c>
      <c r="F89" s="1">
        <v>2005</v>
      </c>
      <c r="G89" s="1">
        <v>2011</v>
      </c>
      <c r="H89" s="1">
        <v>1</v>
      </c>
      <c r="I89" s="1" t="s">
        <v>180</v>
      </c>
      <c r="J89" s="1" t="s">
        <v>185</v>
      </c>
      <c r="K89" s="1" t="s">
        <v>77</v>
      </c>
      <c r="L89" s="1">
        <f>Tabella13[[#This Row],[date_end]]-Tabella13[[#This Row],[date_start]]</f>
        <v>1536</v>
      </c>
    </row>
    <row r="90" spans="1:12" x14ac:dyDescent="0.2">
      <c r="A90" s="1" t="s">
        <v>91</v>
      </c>
      <c r="B90" s="2">
        <v>38676</v>
      </c>
      <c r="C90" s="2">
        <v>38749</v>
      </c>
      <c r="D90" s="1">
        <v>2005</v>
      </c>
      <c r="E90" s="1">
        <v>2006</v>
      </c>
      <c r="F90" s="1">
        <v>2005</v>
      </c>
      <c r="G90" s="1">
        <v>2006</v>
      </c>
      <c r="H90" s="1">
        <v>0</v>
      </c>
      <c r="I90" s="1" t="s">
        <v>38</v>
      </c>
      <c r="J90" s="1" t="s">
        <v>6</v>
      </c>
      <c r="K90" s="1" t="s">
        <v>92</v>
      </c>
      <c r="L90" s="1">
        <f>Tabella13[[#This Row],[date_end]]-Tabella13[[#This Row],[date_start]]</f>
        <v>73</v>
      </c>
    </row>
    <row r="91" spans="1:12" x14ac:dyDescent="0.2">
      <c r="A91" s="1" t="s">
        <v>101</v>
      </c>
      <c r="B91" s="2">
        <v>38681</v>
      </c>
      <c r="C91" s="2">
        <v>44561</v>
      </c>
      <c r="D91" s="1">
        <v>2005</v>
      </c>
      <c r="E91" s="1">
        <v>2021</v>
      </c>
      <c r="F91" s="1"/>
      <c r="G91" s="1"/>
      <c r="H91" s="1"/>
      <c r="I91" s="1" t="s">
        <v>181</v>
      </c>
      <c r="J91" s="1" t="s">
        <v>194</v>
      </c>
      <c r="K91" s="1" t="s">
        <v>196</v>
      </c>
      <c r="L91" s="1">
        <f>Tabella13[[#This Row],[date_end]]-Tabella13[[#This Row],[date_start]]</f>
        <v>5880</v>
      </c>
    </row>
    <row r="92" spans="1:12" x14ac:dyDescent="0.2">
      <c r="A92" s="1" t="s">
        <v>100</v>
      </c>
      <c r="B92" s="2">
        <v>38700</v>
      </c>
      <c r="C92" s="2">
        <v>38717</v>
      </c>
      <c r="D92" s="1">
        <v>2005</v>
      </c>
      <c r="E92" s="1">
        <v>2005</v>
      </c>
      <c r="F92" s="1">
        <v>2005</v>
      </c>
      <c r="G92" s="1">
        <v>2015</v>
      </c>
      <c r="H92" s="1">
        <v>1</v>
      </c>
      <c r="I92" s="1" t="s">
        <v>181</v>
      </c>
      <c r="J92" s="1" t="s">
        <v>191</v>
      </c>
      <c r="K92" s="1" t="s">
        <v>63</v>
      </c>
      <c r="L92" s="1">
        <f>Tabella13[[#This Row],[date_end]]-Tabella13[[#This Row],[date_start]]</f>
        <v>17</v>
      </c>
    </row>
    <row r="93" spans="1:12" x14ac:dyDescent="0.2">
      <c r="A93" s="1" t="s">
        <v>103</v>
      </c>
      <c r="B93" s="2">
        <v>38718</v>
      </c>
      <c r="C93" s="2">
        <v>45657</v>
      </c>
      <c r="D93" s="1">
        <v>2006</v>
      </c>
      <c r="E93" s="1" t="s">
        <v>209</v>
      </c>
      <c r="F93" s="1"/>
      <c r="G93" s="1"/>
      <c r="H93" s="1"/>
      <c r="I93" s="1" t="s">
        <v>38</v>
      </c>
      <c r="J93" s="1" t="s">
        <v>191</v>
      </c>
      <c r="K93" s="1" t="s">
        <v>104</v>
      </c>
      <c r="L93" s="1">
        <f>Tabella13[[#This Row],[date_end]]-Tabella13[[#This Row],[date_start]]</f>
        <v>6939</v>
      </c>
    </row>
    <row r="94" spans="1:12" x14ac:dyDescent="0.2">
      <c r="A94" s="1" t="s">
        <v>102</v>
      </c>
      <c r="B94" s="2">
        <v>38837</v>
      </c>
      <c r="C94" s="2">
        <v>39613</v>
      </c>
      <c r="D94" s="1">
        <v>2006</v>
      </c>
      <c r="E94" s="1">
        <v>2008</v>
      </c>
      <c r="F94" s="1">
        <v>2006</v>
      </c>
      <c r="G94" s="1">
        <v>2008</v>
      </c>
      <c r="H94" s="1">
        <v>0</v>
      </c>
      <c r="I94" s="1" t="s">
        <v>181</v>
      </c>
      <c r="J94" s="1" t="s">
        <v>191</v>
      </c>
      <c r="K94" s="1" t="s">
        <v>57</v>
      </c>
      <c r="L94" s="1">
        <f>Tabella13[[#This Row],[date_end]]-Tabella13[[#This Row],[date_start]]</f>
        <v>776</v>
      </c>
    </row>
    <row r="95" spans="1:12" x14ac:dyDescent="0.2">
      <c r="A95" s="1" t="s">
        <v>99</v>
      </c>
      <c r="B95" s="2">
        <v>38880</v>
      </c>
      <c r="C95" s="2">
        <v>39066</v>
      </c>
      <c r="D95" s="1">
        <v>2006</v>
      </c>
      <c r="E95" s="1">
        <v>2006</v>
      </c>
      <c r="F95" s="1">
        <v>2006</v>
      </c>
      <c r="G95" s="1">
        <v>2006</v>
      </c>
      <c r="H95" s="1">
        <v>0</v>
      </c>
      <c r="I95" s="1" t="s">
        <v>181</v>
      </c>
      <c r="J95" s="1" t="s">
        <v>185</v>
      </c>
      <c r="K95" s="1" t="s">
        <v>214</v>
      </c>
      <c r="L95" s="1">
        <f>Tabella13[[#This Row],[date_end]]-Tabella13[[#This Row],[date_start]]</f>
        <v>186</v>
      </c>
    </row>
    <row r="96" spans="1:12" x14ac:dyDescent="0.2">
      <c r="A96" s="1" t="s">
        <v>106</v>
      </c>
      <c r="B96" s="2">
        <v>39223</v>
      </c>
      <c r="C96" s="2">
        <v>39994</v>
      </c>
      <c r="D96" s="1">
        <v>2007</v>
      </c>
      <c r="E96" s="1">
        <v>2009</v>
      </c>
      <c r="F96" s="1">
        <v>2007</v>
      </c>
      <c r="G96" s="1" t="s">
        <v>209</v>
      </c>
      <c r="H96" s="1">
        <v>1</v>
      </c>
      <c r="I96" s="1" t="s">
        <v>181</v>
      </c>
      <c r="J96" s="1" t="s">
        <v>185</v>
      </c>
      <c r="K96" s="1" t="s">
        <v>214</v>
      </c>
      <c r="L96" s="1">
        <f>Tabella13[[#This Row],[date_end]]-Tabella13[[#This Row],[date_start]]</f>
        <v>771</v>
      </c>
    </row>
    <row r="97" spans="1:12" x14ac:dyDescent="0.2">
      <c r="A97" s="1" t="s">
        <v>108</v>
      </c>
      <c r="B97" s="2">
        <v>39248</v>
      </c>
      <c r="C97" s="2">
        <v>42735</v>
      </c>
      <c r="D97" s="1">
        <v>2007</v>
      </c>
      <c r="E97" s="1">
        <v>2016</v>
      </c>
      <c r="F97" s="1">
        <v>2007</v>
      </c>
      <c r="G97" s="1">
        <v>2016</v>
      </c>
      <c r="H97" s="1">
        <v>0</v>
      </c>
      <c r="I97" s="1" t="s">
        <v>181</v>
      </c>
      <c r="J97" s="1" t="s">
        <v>6</v>
      </c>
      <c r="K97" s="1" t="s">
        <v>24</v>
      </c>
      <c r="L97" s="1">
        <f>Tabella13[[#This Row],[date_end]]-Tabella13[[#This Row],[date_start]]</f>
        <v>3487</v>
      </c>
    </row>
    <row r="98" spans="1:12" x14ac:dyDescent="0.2">
      <c r="A98" s="1" t="s">
        <v>105</v>
      </c>
      <c r="B98" s="2">
        <v>39264</v>
      </c>
      <c r="C98" s="2">
        <v>39447</v>
      </c>
      <c r="D98" s="1">
        <v>2007</v>
      </c>
      <c r="E98" s="1">
        <v>2007</v>
      </c>
      <c r="F98" s="1">
        <v>2007</v>
      </c>
      <c r="G98" s="1" t="s">
        <v>209</v>
      </c>
      <c r="H98" s="1">
        <v>1</v>
      </c>
      <c r="I98" s="1" t="s">
        <v>180</v>
      </c>
      <c r="J98" s="1" t="s">
        <v>185</v>
      </c>
      <c r="K98" s="1" t="s">
        <v>1</v>
      </c>
      <c r="L98" s="1">
        <f>Tabella13[[#This Row],[date_end]]-Tabella13[[#This Row],[date_start]]</f>
        <v>183</v>
      </c>
    </row>
    <row r="99" spans="1:12" x14ac:dyDescent="0.2">
      <c r="A99" s="1" t="s">
        <v>107</v>
      </c>
      <c r="B99" s="2">
        <v>39264</v>
      </c>
      <c r="C99" s="2">
        <v>42369</v>
      </c>
      <c r="D99" s="1">
        <v>2007</v>
      </c>
      <c r="E99" s="1">
        <v>2015</v>
      </c>
      <c r="F99" s="1">
        <v>2007</v>
      </c>
      <c r="G99" s="1">
        <v>2015</v>
      </c>
      <c r="H99" s="1">
        <v>0</v>
      </c>
      <c r="I99" s="1" t="s">
        <v>181</v>
      </c>
      <c r="J99" s="1" t="s">
        <v>185</v>
      </c>
      <c r="K99" s="1" t="s">
        <v>214</v>
      </c>
      <c r="L99" s="1">
        <f>Tabella13[[#This Row],[date_end]]-Tabella13[[#This Row],[date_start]]</f>
        <v>3105</v>
      </c>
    </row>
    <row r="100" spans="1:12" x14ac:dyDescent="0.2">
      <c r="A100" s="1" t="s">
        <v>109</v>
      </c>
      <c r="B100" s="2">
        <v>39350</v>
      </c>
      <c r="C100" s="2">
        <v>39994</v>
      </c>
      <c r="D100" s="1">
        <v>2007</v>
      </c>
      <c r="E100" s="1">
        <v>2009</v>
      </c>
      <c r="F100" s="1">
        <v>2007</v>
      </c>
      <c r="G100" s="1">
        <v>2009</v>
      </c>
      <c r="H100" s="1">
        <v>0</v>
      </c>
      <c r="I100" s="1" t="s">
        <v>181</v>
      </c>
      <c r="J100" s="1" t="s">
        <v>185</v>
      </c>
      <c r="K100" s="1" t="s">
        <v>201</v>
      </c>
      <c r="L100" s="1">
        <f>Tabella13[[#This Row],[date_end]]-Tabella13[[#This Row],[date_start]]</f>
        <v>644</v>
      </c>
    </row>
    <row r="101" spans="1:12" x14ac:dyDescent="0.2">
      <c r="A101" s="1" t="s">
        <v>110</v>
      </c>
      <c r="B101" s="2">
        <v>39599</v>
      </c>
      <c r="C101" s="2">
        <v>41639</v>
      </c>
      <c r="D101" s="1">
        <v>2008</v>
      </c>
      <c r="E101" s="1">
        <v>2013</v>
      </c>
      <c r="F101" s="1">
        <v>2008</v>
      </c>
      <c r="G101" s="1">
        <v>2013</v>
      </c>
      <c r="H101" s="1">
        <v>1</v>
      </c>
      <c r="I101" s="1" t="s">
        <v>180</v>
      </c>
      <c r="J101" s="1" t="s">
        <v>185</v>
      </c>
      <c r="K101" s="1" t="s">
        <v>77</v>
      </c>
      <c r="L101" s="1">
        <f>Tabella13[[#This Row],[date_end]]-Tabella13[[#This Row],[date_start]]</f>
        <v>2040</v>
      </c>
    </row>
    <row r="102" spans="1:12" x14ac:dyDescent="0.2">
      <c r="A102" s="1" t="s">
        <v>118</v>
      </c>
      <c r="B102" s="2">
        <v>39614</v>
      </c>
      <c r="C102" s="2">
        <v>45657</v>
      </c>
      <c r="D102" s="1">
        <v>2008</v>
      </c>
      <c r="E102" s="1" t="s">
        <v>209</v>
      </c>
      <c r="F102" s="1"/>
      <c r="G102" s="1"/>
      <c r="H102" s="1"/>
      <c r="I102" s="1" t="s">
        <v>181</v>
      </c>
      <c r="J102" s="1" t="s">
        <v>191</v>
      </c>
      <c r="K102" s="1" t="s">
        <v>57</v>
      </c>
      <c r="L102" s="1">
        <f>Tabella13[[#This Row],[date_end]]-Tabella13[[#This Row],[date_start]]</f>
        <v>6043</v>
      </c>
    </row>
    <row r="103" spans="1:12" x14ac:dyDescent="0.2">
      <c r="A103" s="1" t="s">
        <v>111</v>
      </c>
      <c r="B103" s="2">
        <v>39712</v>
      </c>
      <c r="C103" s="2">
        <v>40908</v>
      </c>
      <c r="D103" s="1">
        <v>2008</v>
      </c>
      <c r="E103" s="1">
        <v>2011</v>
      </c>
      <c r="F103" s="1">
        <v>2008</v>
      </c>
      <c r="G103" s="1" t="s">
        <v>209</v>
      </c>
      <c r="H103" s="1">
        <v>1</v>
      </c>
      <c r="I103" s="1" t="s">
        <v>181</v>
      </c>
      <c r="J103" s="1" t="s">
        <v>203</v>
      </c>
      <c r="K103" s="1" t="s">
        <v>112</v>
      </c>
      <c r="L103" s="1">
        <f>Tabella13[[#This Row],[date_end]]-Tabella13[[#This Row],[date_start]]</f>
        <v>1196</v>
      </c>
    </row>
    <row r="104" spans="1:12" x14ac:dyDescent="0.2">
      <c r="A104" s="1" t="s">
        <v>113</v>
      </c>
      <c r="B104" s="2">
        <v>39879</v>
      </c>
      <c r="C104" s="2">
        <v>45657</v>
      </c>
      <c r="D104" s="1">
        <v>2009</v>
      </c>
      <c r="E104" s="1" t="s">
        <v>209</v>
      </c>
      <c r="F104" s="1"/>
      <c r="G104" s="1"/>
      <c r="H104" s="1"/>
      <c r="I104" s="1" t="s">
        <v>181</v>
      </c>
      <c r="J104" s="1" t="s">
        <v>185</v>
      </c>
      <c r="K104" s="1" t="s">
        <v>1</v>
      </c>
      <c r="L104" s="1">
        <f>Tabella13[[#This Row],[date_end]]-Tabella13[[#This Row],[date_start]]</f>
        <v>5778</v>
      </c>
    </row>
    <row r="105" spans="1:12" x14ac:dyDescent="0.2">
      <c r="A105" s="1" t="s">
        <v>114</v>
      </c>
      <c r="B105" s="2">
        <v>40042</v>
      </c>
      <c r="C105" s="2">
        <v>42719</v>
      </c>
      <c r="D105" s="1">
        <v>2009</v>
      </c>
      <c r="E105" s="1">
        <v>2016</v>
      </c>
      <c r="F105" s="1">
        <v>2009</v>
      </c>
      <c r="G105" s="1">
        <v>2016</v>
      </c>
      <c r="H105" s="1">
        <v>0</v>
      </c>
      <c r="I105" s="1" t="s">
        <v>38</v>
      </c>
      <c r="J105" s="1" t="s">
        <v>185</v>
      </c>
      <c r="K105" s="1" t="s">
        <v>222</v>
      </c>
      <c r="L105" s="1">
        <f>Tabella13[[#This Row],[date_end]]-Tabella13[[#This Row],[date_start]]</f>
        <v>2677</v>
      </c>
    </row>
    <row r="106" spans="1:12" x14ac:dyDescent="0.2">
      <c r="A106" s="1" t="s">
        <v>117</v>
      </c>
      <c r="B106" s="2">
        <v>40191</v>
      </c>
      <c r="C106" s="2">
        <v>40285</v>
      </c>
      <c r="D106" s="1">
        <v>2010</v>
      </c>
      <c r="E106" s="1">
        <v>2010</v>
      </c>
      <c r="F106" s="1">
        <v>2010</v>
      </c>
      <c r="G106" s="1">
        <v>2010</v>
      </c>
      <c r="H106" s="1">
        <v>0</v>
      </c>
      <c r="I106" s="1" t="s">
        <v>180</v>
      </c>
      <c r="J106" s="1" t="s">
        <v>184</v>
      </c>
      <c r="K106" s="1" t="s">
        <v>116</v>
      </c>
      <c r="L106" s="1">
        <f>Tabella13[[#This Row],[date_end]]-Tabella13[[#This Row],[date_start]]</f>
        <v>94</v>
      </c>
    </row>
    <row r="107" spans="1:12" x14ac:dyDescent="0.2">
      <c r="A107" s="1" t="s">
        <v>119</v>
      </c>
      <c r="B107" s="2">
        <v>40278</v>
      </c>
      <c r="C107" s="2">
        <v>45657</v>
      </c>
      <c r="D107" s="1">
        <v>2010</v>
      </c>
      <c r="E107" s="1" t="s">
        <v>209</v>
      </c>
      <c r="F107" s="1"/>
      <c r="G107" s="1"/>
      <c r="H107" s="1"/>
      <c r="I107" s="1" t="s">
        <v>181</v>
      </c>
      <c r="J107" s="1" t="s">
        <v>185</v>
      </c>
      <c r="K107" s="1" t="s">
        <v>1</v>
      </c>
      <c r="L107" s="1">
        <f>Tabella13[[#This Row],[date_end]]-Tabella13[[#This Row],[date_start]]</f>
        <v>5379</v>
      </c>
    </row>
    <row r="108" spans="1:12" x14ac:dyDescent="0.2">
      <c r="A108" s="1" t="s">
        <v>115</v>
      </c>
      <c r="B108" s="2">
        <v>40290</v>
      </c>
      <c r="C108" s="2">
        <v>40545</v>
      </c>
      <c r="D108" s="1">
        <v>2010</v>
      </c>
      <c r="E108" s="1">
        <v>2011</v>
      </c>
      <c r="F108" s="1">
        <v>2010</v>
      </c>
      <c r="G108" s="1">
        <v>2011</v>
      </c>
      <c r="H108" s="1">
        <v>0</v>
      </c>
      <c r="I108" s="1" t="s">
        <v>180</v>
      </c>
      <c r="J108" s="1" t="s">
        <v>184</v>
      </c>
      <c r="K108" s="1" t="s">
        <v>116</v>
      </c>
      <c r="L108" s="1">
        <f>Tabella13[[#This Row],[date_end]]-Tabella13[[#This Row],[date_start]]</f>
        <v>255</v>
      </c>
    </row>
    <row r="109" spans="1:12" x14ac:dyDescent="0.2">
      <c r="A109" s="1" t="s">
        <v>120</v>
      </c>
      <c r="B109" s="2">
        <v>40633</v>
      </c>
      <c r="C109" s="2">
        <v>40847</v>
      </c>
      <c r="D109" s="1">
        <v>2011</v>
      </c>
      <c r="E109" s="1">
        <v>2011</v>
      </c>
      <c r="F109" s="1">
        <v>2011</v>
      </c>
      <c r="G109" s="1">
        <v>2011</v>
      </c>
      <c r="H109" s="1">
        <v>0</v>
      </c>
      <c r="I109" s="1" t="s">
        <v>38</v>
      </c>
      <c r="J109" s="1" t="s">
        <v>251</v>
      </c>
      <c r="K109" s="1" t="s">
        <v>202</v>
      </c>
      <c r="L109" s="1">
        <f>Tabella13[[#This Row],[date_end]]-Tabella13[[#This Row],[date_start]]</f>
        <v>214</v>
      </c>
    </row>
    <row r="110" spans="1:12" x14ac:dyDescent="0.2">
      <c r="A110" s="1" t="s">
        <v>121</v>
      </c>
      <c r="B110" s="2">
        <v>40661</v>
      </c>
      <c r="C110" s="2">
        <v>41523</v>
      </c>
      <c r="D110" s="1">
        <v>2011</v>
      </c>
      <c r="E110" s="1">
        <v>2013</v>
      </c>
      <c r="F110" s="1"/>
      <c r="G110" s="1"/>
      <c r="H110" s="1"/>
      <c r="I110" s="1" t="s">
        <v>182</v>
      </c>
      <c r="J110" s="1" t="s">
        <v>251</v>
      </c>
      <c r="K110" s="1" t="s">
        <v>202</v>
      </c>
      <c r="L110" s="1">
        <f>Tabella13[[#This Row],[date_end]]-Tabella13[[#This Row],[date_start]]</f>
        <v>862</v>
      </c>
    </row>
    <row r="111" spans="1:12" x14ac:dyDescent="0.2">
      <c r="A111" s="1" t="s">
        <v>125</v>
      </c>
      <c r="B111" s="2">
        <v>40878</v>
      </c>
      <c r="C111" s="2">
        <v>45657</v>
      </c>
      <c r="D111" s="1">
        <v>2011</v>
      </c>
      <c r="E111" s="1" t="s">
        <v>209</v>
      </c>
      <c r="F111" s="1"/>
      <c r="G111" s="1"/>
      <c r="H111" s="1"/>
      <c r="I111" s="1" t="s">
        <v>182</v>
      </c>
      <c r="J111" s="1" t="s">
        <v>203</v>
      </c>
      <c r="K111" s="1" t="s">
        <v>13</v>
      </c>
      <c r="L111" s="1">
        <f>Tabella13[[#This Row],[date_end]]-Tabella13[[#This Row],[date_start]]</f>
        <v>4779</v>
      </c>
    </row>
    <row r="112" spans="1:12" x14ac:dyDescent="0.2">
      <c r="A112" s="1" t="s">
        <v>162</v>
      </c>
      <c r="B112" s="2">
        <v>40909</v>
      </c>
      <c r="C112" s="2">
        <v>41639</v>
      </c>
      <c r="D112" s="1">
        <v>2012</v>
      </c>
      <c r="E112" s="1">
        <v>2013</v>
      </c>
      <c r="F112" s="1">
        <v>2011</v>
      </c>
      <c r="G112" s="1" t="s">
        <v>209</v>
      </c>
      <c r="H112" s="1">
        <v>1</v>
      </c>
      <c r="I112" s="1" t="s">
        <v>180</v>
      </c>
      <c r="J112" s="1" t="s">
        <v>185</v>
      </c>
      <c r="K112" s="1" t="s">
        <v>77</v>
      </c>
      <c r="L112" s="1">
        <f>Tabella13[[#This Row],[date_end]]-Tabella13[[#This Row],[date_start]]</f>
        <v>730</v>
      </c>
    </row>
    <row r="113" spans="1:12" x14ac:dyDescent="0.2">
      <c r="A113" s="1" t="s">
        <v>122</v>
      </c>
      <c r="B113" s="2">
        <v>41044</v>
      </c>
      <c r="C113" s="2">
        <v>41112</v>
      </c>
      <c r="D113" s="1">
        <v>2012</v>
      </c>
      <c r="E113" s="1">
        <v>2012</v>
      </c>
      <c r="F113" s="1">
        <v>2012</v>
      </c>
      <c r="G113" s="1">
        <v>2012</v>
      </c>
      <c r="H113" s="1">
        <v>0</v>
      </c>
      <c r="I113" s="1" t="s">
        <v>180</v>
      </c>
      <c r="J113" s="1" t="s">
        <v>194</v>
      </c>
      <c r="K113" s="1" t="s">
        <v>197</v>
      </c>
      <c r="L113" s="1">
        <f>Tabella13[[#This Row],[date_end]]-Tabella13[[#This Row],[date_start]]</f>
        <v>68</v>
      </c>
    </row>
    <row r="114" spans="1:12" x14ac:dyDescent="0.2">
      <c r="A114" s="1" t="s">
        <v>247</v>
      </c>
      <c r="B114" s="2">
        <v>41102</v>
      </c>
      <c r="C114" s="2">
        <v>45213</v>
      </c>
      <c r="D114" s="1">
        <v>2012</v>
      </c>
      <c r="E114" s="1">
        <v>2023</v>
      </c>
      <c r="F114" s="1"/>
      <c r="G114" s="1"/>
      <c r="H114" s="1"/>
      <c r="I114" s="1" t="s">
        <v>182</v>
      </c>
      <c r="J114" s="1" t="s">
        <v>194</v>
      </c>
      <c r="K114" s="1" t="s">
        <v>196</v>
      </c>
      <c r="L114" s="1">
        <f>Tabella13[[#This Row],[date_end]]-Tabella13[[#This Row],[date_start]]</f>
        <v>4111</v>
      </c>
    </row>
    <row r="115" spans="1:12" x14ac:dyDescent="0.2">
      <c r="A115" s="1" t="s">
        <v>165</v>
      </c>
      <c r="B115" s="2">
        <v>41275</v>
      </c>
      <c r="C115" s="2">
        <v>42059</v>
      </c>
      <c r="D115" s="1">
        <v>2013</v>
      </c>
      <c r="E115" s="1">
        <v>2015</v>
      </c>
      <c r="F115" s="1">
        <v>2012</v>
      </c>
      <c r="G115" s="1" t="s">
        <v>209</v>
      </c>
      <c r="H115" s="1">
        <v>1</v>
      </c>
      <c r="I115" s="1" t="s">
        <v>181</v>
      </c>
      <c r="J115" s="1" t="s">
        <v>185</v>
      </c>
      <c r="K115" s="1" t="s">
        <v>151</v>
      </c>
      <c r="L115" s="1">
        <f>Tabella13[[#This Row],[date_end]]-Tabella13[[#This Row],[date_start]]</f>
        <v>784</v>
      </c>
    </row>
    <row r="116" spans="1:12" x14ac:dyDescent="0.2">
      <c r="A116" s="1" t="s">
        <v>130</v>
      </c>
      <c r="B116" s="2">
        <v>41285</v>
      </c>
      <c r="C116" s="2">
        <v>45429</v>
      </c>
      <c r="D116" s="1">
        <v>2013</v>
      </c>
      <c r="E116" s="1">
        <v>2024</v>
      </c>
      <c r="F116" s="1"/>
      <c r="G116" s="1"/>
      <c r="H116" s="1"/>
      <c r="I116" s="1" t="s">
        <v>181</v>
      </c>
      <c r="J116" s="1" t="s">
        <v>185</v>
      </c>
      <c r="K116" s="1" t="s">
        <v>123</v>
      </c>
      <c r="L116" s="1">
        <f>Tabella13[[#This Row],[date_end]]-Tabella13[[#This Row],[date_start]]</f>
        <v>4144</v>
      </c>
    </row>
    <row r="117" spans="1:12" x14ac:dyDescent="0.2">
      <c r="A117" s="4" t="s">
        <v>127</v>
      </c>
      <c r="B117" s="5">
        <v>41416</v>
      </c>
      <c r="C117" s="5">
        <v>45657</v>
      </c>
      <c r="D117" s="4">
        <v>2013</v>
      </c>
      <c r="E117" s="4" t="s">
        <v>209</v>
      </c>
      <c r="F117" s="4"/>
      <c r="G117" s="4"/>
      <c r="H117" s="4"/>
      <c r="I117" s="4" t="s">
        <v>181</v>
      </c>
      <c r="J117" s="1" t="s">
        <v>251</v>
      </c>
      <c r="K117" s="4" t="s">
        <v>202</v>
      </c>
      <c r="L117" s="4">
        <f>Tabella13[[#This Row],[date_end]]-Tabella13[[#This Row],[date_start]]</f>
        <v>4241</v>
      </c>
    </row>
    <row r="118" spans="1:12" x14ac:dyDescent="0.2">
      <c r="A118" s="1" t="s">
        <v>129</v>
      </c>
      <c r="B118" s="2">
        <v>41418</v>
      </c>
      <c r="C118" s="2">
        <v>44094</v>
      </c>
      <c r="D118" s="1">
        <v>2013</v>
      </c>
      <c r="E118" s="1">
        <v>2020</v>
      </c>
      <c r="F118" s="1">
        <v>2013</v>
      </c>
      <c r="G118" s="1" t="s">
        <v>209</v>
      </c>
      <c r="H118" s="1">
        <v>1</v>
      </c>
      <c r="I118" s="1" t="s">
        <v>181</v>
      </c>
      <c r="J118" s="1" t="s">
        <v>251</v>
      </c>
      <c r="K118" s="1" t="s">
        <v>202</v>
      </c>
      <c r="L118" s="1">
        <f>Tabella13[[#This Row],[date_end]]-Tabella13[[#This Row],[date_start]]</f>
        <v>2676</v>
      </c>
    </row>
    <row r="119" spans="1:12" x14ac:dyDescent="0.2">
      <c r="A119" s="1" t="s">
        <v>225</v>
      </c>
      <c r="B119" s="2">
        <v>41418</v>
      </c>
      <c r="C119" s="2">
        <v>45264</v>
      </c>
      <c r="D119" s="1">
        <v>2013</v>
      </c>
      <c r="E119" s="1">
        <v>2023</v>
      </c>
      <c r="F119" s="1"/>
      <c r="G119" s="1"/>
      <c r="H119" s="1"/>
      <c r="I119" s="1" t="s">
        <v>181</v>
      </c>
      <c r="J119" s="1" t="s">
        <v>251</v>
      </c>
      <c r="K119" s="1" t="s">
        <v>202</v>
      </c>
      <c r="L119" s="1">
        <f>Tabella13[[#This Row],[date_end]]-Tabella13[[#This Row],[date_start]]</f>
        <v>3846</v>
      </c>
    </row>
    <row r="120" spans="1:12" x14ac:dyDescent="0.2">
      <c r="A120" s="1" t="s">
        <v>126</v>
      </c>
      <c r="B120" s="2">
        <v>41438</v>
      </c>
      <c r="C120" s="2">
        <v>41464</v>
      </c>
      <c r="D120" s="1">
        <v>2013</v>
      </c>
      <c r="E120" s="1">
        <v>2013</v>
      </c>
      <c r="F120" s="1">
        <v>2013</v>
      </c>
      <c r="G120" s="1">
        <v>2013</v>
      </c>
      <c r="H120" s="1">
        <v>0</v>
      </c>
      <c r="I120" s="1" t="s">
        <v>38</v>
      </c>
      <c r="J120" s="1" t="s">
        <v>203</v>
      </c>
      <c r="K120" s="1" t="s">
        <v>206</v>
      </c>
      <c r="L120" s="1">
        <f>Tabella13[[#This Row],[date_end]]-Tabella13[[#This Row],[date_start]]</f>
        <v>26</v>
      </c>
    </row>
    <row r="121" spans="1:12" x14ac:dyDescent="0.2">
      <c r="A121" s="1" t="s">
        <v>131</v>
      </c>
      <c r="B121" s="2">
        <v>41456</v>
      </c>
      <c r="C121" s="2">
        <v>45271</v>
      </c>
      <c r="D121" s="1">
        <v>2013</v>
      </c>
      <c r="E121" s="1">
        <v>2023</v>
      </c>
      <c r="F121" s="1"/>
      <c r="G121" s="1"/>
      <c r="H121" s="1"/>
      <c r="I121" s="1" t="s">
        <v>180</v>
      </c>
      <c r="J121" s="1" t="s">
        <v>185</v>
      </c>
      <c r="K121" s="1" t="s">
        <v>123</v>
      </c>
      <c r="L121" s="1">
        <f>Tabella13[[#This Row],[date_end]]-Tabella13[[#This Row],[date_start]]</f>
        <v>3815</v>
      </c>
    </row>
    <row r="122" spans="1:12" x14ac:dyDescent="0.2">
      <c r="A122" s="1" t="s">
        <v>124</v>
      </c>
      <c r="B122" s="2">
        <v>41640</v>
      </c>
      <c r="C122" s="2">
        <v>45657</v>
      </c>
      <c r="D122" s="1">
        <v>2014</v>
      </c>
      <c r="E122" s="1" t="s">
        <v>209</v>
      </c>
      <c r="F122" s="1"/>
      <c r="G122" s="1"/>
      <c r="H122" s="1"/>
      <c r="I122" s="1" t="s">
        <v>182</v>
      </c>
      <c r="J122" s="1" t="s">
        <v>185</v>
      </c>
      <c r="K122" s="1" t="s">
        <v>250</v>
      </c>
      <c r="L122" s="1">
        <f>Tabella13[[#This Row],[date_end]]-Tabella13[[#This Row],[date_start]]</f>
        <v>4017</v>
      </c>
    </row>
    <row r="123" spans="1:12" x14ac:dyDescent="0.2">
      <c r="A123" s="1" t="s">
        <v>132</v>
      </c>
      <c r="B123" s="2">
        <v>41805</v>
      </c>
      <c r="C123" s="2">
        <v>42094</v>
      </c>
      <c r="D123" s="1">
        <v>2014</v>
      </c>
      <c r="E123" s="1">
        <v>2015</v>
      </c>
      <c r="F123" s="1">
        <v>2014</v>
      </c>
      <c r="G123" s="1">
        <v>2015</v>
      </c>
      <c r="H123" s="1">
        <v>0</v>
      </c>
      <c r="I123" s="1" t="s">
        <v>181</v>
      </c>
      <c r="J123" s="1" t="s">
        <v>185</v>
      </c>
      <c r="K123" s="1" t="s">
        <v>187</v>
      </c>
      <c r="L123" s="1">
        <f>Tabella13[[#This Row],[date_end]]-Tabella13[[#This Row],[date_start]]</f>
        <v>289</v>
      </c>
    </row>
    <row r="124" spans="1:12" x14ac:dyDescent="0.2">
      <c r="A124" s="1" t="s">
        <v>164</v>
      </c>
      <c r="B124" s="2">
        <v>41821</v>
      </c>
      <c r="C124" s="2">
        <v>45264</v>
      </c>
      <c r="D124" s="1">
        <v>2014</v>
      </c>
      <c r="E124" s="1">
        <v>2023</v>
      </c>
      <c r="F124" s="1"/>
      <c r="G124" s="1"/>
      <c r="H124" s="1"/>
      <c r="I124" s="1" t="s">
        <v>181</v>
      </c>
      <c r="J124" s="1" t="s">
        <v>185</v>
      </c>
      <c r="K124" s="1" t="s">
        <v>123</v>
      </c>
      <c r="L124" s="1">
        <f>Tabella13[[#This Row],[date_end]]-Tabella13[[#This Row],[date_start]]</f>
        <v>3443</v>
      </c>
    </row>
    <row r="125" spans="1:12" x14ac:dyDescent="0.2">
      <c r="A125" s="1" t="s">
        <v>133</v>
      </c>
      <c r="B125" s="2">
        <v>41875</v>
      </c>
      <c r="C125" s="2">
        <v>42078</v>
      </c>
      <c r="D125" s="1">
        <v>2014</v>
      </c>
      <c r="E125" s="1">
        <v>2015</v>
      </c>
      <c r="F125" s="1"/>
      <c r="G125" s="1"/>
      <c r="H125" s="1"/>
      <c r="I125" s="1" t="s">
        <v>182</v>
      </c>
      <c r="J125" s="1" t="s">
        <v>185</v>
      </c>
      <c r="K125" s="1" t="s">
        <v>188</v>
      </c>
      <c r="L125" s="1">
        <f>Tabella13[[#This Row],[date_end]]-Tabella13[[#This Row],[date_start]]</f>
        <v>203</v>
      </c>
    </row>
    <row r="126" spans="1:12" x14ac:dyDescent="0.2">
      <c r="A126" s="1" t="s">
        <v>137</v>
      </c>
      <c r="B126" s="2">
        <v>41915</v>
      </c>
      <c r="C126" s="2">
        <v>45657</v>
      </c>
      <c r="D126" s="1">
        <v>2015</v>
      </c>
      <c r="E126" s="1" t="s">
        <v>209</v>
      </c>
      <c r="F126" s="1"/>
      <c r="G126" s="1"/>
      <c r="H126" s="1"/>
      <c r="I126" s="1" t="s">
        <v>224</v>
      </c>
      <c r="J126" s="1" t="s">
        <v>194</v>
      </c>
      <c r="K126" s="1" t="s">
        <v>217</v>
      </c>
      <c r="L126" s="1">
        <f>Tabella13[[#This Row],[date_end]]-Tabella13[[#This Row],[date_start]]</f>
        <v>3742</v>
      </c>
    </row>
    <row r="127" spans="1:12" x14ac:dyDescent="0.2">
      <c r="A127" s="1" t="s">
        <v>134</v>
      </c>
      <c r="B127" s="2">
        <v>42005</v>
      </c>
      <c r="C127" s="2">
        <v>42244</v>
      </c>
      <c r="D127" s="1">
        <v>2015</v>
      </c>
      <c r="E127" s="1">
        <v>2015</v>
      </c>
      <c r="F127" s="1">
        <v>2015</v>
      </c>
      <c r="G127" s="1">
        <v>2015</v>
      </c>
      <c r="H127" s="1">
        <v>0</v>
      </c>
      <c r="I127" s="1" t="s">
        <v>38</v>
      </c>
      <c r="J127" s="1" t="s">
        <v>203</v>
      </c>
      <c r="K127" s="1" t="s">
        <v>204</v>
      </c>
      <c r="L127" s="1">
        <f>Tabella13[[#This Row],[date_end]]-Tabella13[[#This Row],[date_start]]</f>
        <v>239</v>
      </c>
    </row>
    <row r="128" spans="1:12" x14ac:dyDescent="0.2">
      <c r="A128" s="1" t="s">
        <v>138</v>
      </c>
      <c r="B128" s="2">
        <v>42005</v>
      </c>
      <c r="C128" s="2">
        <v>44440</v>
      </c>
      <c r="D128" s="1">
        <v>2015</v>
      </c>
      <c r="E128" s="1">
        <v>2021</v>
      </c>
      <c r="F128" s="1"/>
      <c r="G128" s="1"/>
      <c r="H128" s="1"/>
      <c r="I128" s="1" t="s">
        <v>38</v>
      </c>
      <c r="J128" s="1" t="s">
        <v>6</v>
      </c>
      <c r="K128" s="1" t="s">
        <v>24</v>
      </c>
      <c r="L128" s="1">
        <f>Tabella13[[#This Row],[date_end]]-Tabella13[[#This Row],[date_start]]</f>
        <v>2435</v>
      </c>
    </row>
    <row r="129" spans="1:35" x14ac:dyDescent="0.2">
      <c r="A129" s="1" t="s">
        <v>136</v>
      </c>
      <c r="B129" s="2">
        <v>42032</v>
      </c>
      <c r="C129" s="2">
        <v>45657</v>
      </c>
      <c r="D129" s="1">
        <v>2015</v>
      </c>
      <c r="E129" s="1" t="s">
        <v>209</v>
      </c>
      <c r="F129" s="1"/>
      <c r="G129" s="1"/>
      <c r="H129" s="1"/>
      <c r="I129" s="1" t="s">
        <v>182</v>
      </c>
      <c r="J129" s="1" t="s">
        <v>194</v>
      </c>
      <c r="K129" s="1" t="s">
        <v>195</v>
      </c>
      <c r="L129" s="1">
        <f>Tabella13[[#This Row],[date_end]]-Tabella13[[#This Row],[date_start]]</f>
        <v>3625</v>
      </c>
    </row>
    <row r="130" spans="1:35" x14ac:dyDescent="0.2">
      <c r="A130" s="1" t="s">
        <v>135</v>
      </c>
      <c r="B130" s="2">
        <v>42142</v>
      </c>
      <c r="C130" s="2">
        <v>43921</v>
      </c>
      <c r="D130" s="1">
        <v>2015</v>
      </c>
      <c r="E130" s="1">
        <v>2020</v>
      </c>
      <c r="F130" s="1"/>
      <c r="G130" s="1"/>
      <c r="H130" s="1">
        <v>0</v>
      </c>
      <c r="I130" s="1" t="s">
        <v>181</v>
      </c>
      <c r="J130" s="1" t="s">
        <v>251</v>
      </c>
      <c r="K130" s="1" t="s">
        <v>200</v>
      </c>
      <c r="L130" s="1">
        <f>Tabella13[[#This Row],[date_end]]-Tabella13[[#This Row],[date_start]]</f>
        <v>1779</v>
      </c>
    </row>
    <row r="131" spans="1:35" x14ac:dyDescent="0.2">
      <c r="A131" s="1" t="s">
        <v>226</v>
      </c>
      <c r="B131" s="2">
        <v>42370</v>
      </c>
      <c r="C131" s="2">
        <v>45657</v>
      </c>
      <c r="D131" s="1">
        <v>2016</v>
      </c>
      <c r="E131" s="1" t="s">
        <v>209</v>
      </c>
      <c r="F131" s="1"/>
      <c r="G131" s="1"/>
      <c r="H131" s="1"/>
      <c r="I131" s="1" t="s">
        <v>38</v>
      </c>
      <c r="J131" s="1" t="s">
        <v>203</v>
      </c>
      <c r="K131" s="1" t="s">
        <v>207</v>
      </c>
      <c r="L131" s="1">
        <f>Tabella13[[#This Row],[date_end]]-Tabella13[[#This Row],[date_start]]</f>
        <v>3287</v>
      </c>
    </row>
    <row r="132" spans="1:35" x14ac:dyDescent="0.2">
      <c r="A132" s="1" t="s">
        <v>145</v>
      </c>
      <c r="B132" s="2">
        <v>42552</v>
      </c>
      <c r="C132" s="2">
        <v>45657</v>
      </c>
      <c r="D132" s="1">
        <v>2016</v>
      </c>
      <c r="E132" s="1" t="s">
        <v>209</v>
      </c>
      <c r="F132" s="1"/>
      <c r="G132" s="1"/>
      <c r="H132" s="1"/>
      <c r="I132" s="1" t="s">
        <v>38</v>
      </c>
      <c r="J132" s="1" t="s">
        <v>251</v>
      </c>
      <c r="K132" s="1" t="s">
        <v>200</v>
      </c>
      <c r="L132" s="1">
        <f>Tabella13[[#This Row],[date_end]]-Tabella13[[#This Row],[date_start]]</f>
        <v>3105</v>
      </c>
    </row>
    <row r="133" spans="1:35" x14ac:dyDescent="0.2">
      <c r="A133" s="1" t="s">
        <v>163</v>
      </c>
      <c r="B133" s="2">
        <v>42627</v>
      </c>
      <c r="C133" s="2">
        <v>43465</v>
      </c>
      <c r="D133" s="1">
        <v>2016</v>
      </c>
      <c r="E133" s="1">
        <v>2018</v>
      </c>
      <c r="F133" s="1">
        <v>2011</v>
      </c>
      <c r="G133" s="1" t="s">
        <v>209</v>
      </c>
      <c r="H133" s="1">
        <v>1</v>
      </c>
      <c r="I133" s="1" t="s">
        <v>180</v>
      </c>
      <c r="J133" s="1" t="s">
        <v>251</v>
      </c>
      <c r="K133" s="1" t="s">
        <v>202</v>
      </c>
      <c r="L133" s="1">
        <f>Tabella13[[#This Row],[date_end]]-Tabella13[[#This Row],[date_start]]</f>
        <v>838</v>
      </c>
    </row>
    <row r="134" spans="1:35" x14ac:dyDescent="0.2">
      <c r="A134" s="1" t="s">
        <v>139</v>
      </c>
      <c r="B134" s="2">
        <v>42627</v>
      </c>
      <c r="C134" s="2">
        <v>43100</v>
      </c>
      <c r="D134" s="1">
        <v>2016</v>
      </c>
      <c r="E134" s="1">
        <v>2017</v>
      </c>
      <c r="F134" s="1"/>
      <c r="G134" s="1"/>
      <c r="H134" s="1"/>
      <c r="I134" s="1" t="s">
        <v>182</v>
      </c>
      <c r="J134" s="1" t="s">
        <v>251</v>
      </c>
      <c r="K134" s="1" t="s">
        <v>202</v>
      </c>
      <c r="L134" s="1">
        <f>Tabella13[[#This Row],[date_end]]-Tabella13[[#This Row],[date_start]]</f>
        <v>473</v>
      </c>
    </row>
    <row r="135" spans="1:35" x14ac:dyDescent="0.2">
      <c r="A135" s="1" t="s">
        <v>141</v>
      </c>
      <c r="B135" s="2">
        <v>42736</v>
      </c>
      <c r="C135" s="2">
        <v>43100</v>
      </c>
      <c r="D135" s="1">
        <v>2017</v>
      </c>
      <c r="E135" s="1">
        <v>2017</v>
      </c>
      <c r="F135" s="1">
        <v>2017</v>
      </c>
      <c r="G135" s="1">
        <v>2017</v>
      </c>
      <c r="H135" s="1">
        <v>0</v>
      </c>
      <c r="I135" s="1" t="s">
        <v>38</v>
      </c>
      <c r="J135" s="1" t="s">
        <v>203</v>
      </c>
      <c r="K135" s="1" t="s">
        <v>142</v>
      </c>
      <c r="L135" s="1">
        <f>Tabella13[[#This Row],[date_end]]-Tabella13[[#This Row],[date_start]]</f>
        <v>364</v>
      </c>
    </row>
    <row r="136" spans="1:35" x14ac:dyDescent="0.2">
      <c r="A136" s="1" t="s">
        <v>166</v>
      </c>
      <c r="B136" s="2">
        <v>42795</v>
      </c>
      <c r="C136" s="2">
        <v>45657</v>
      </c>
      <c r="D136" s="1">
        <v>2017</v>
      </c>
      <c r="E136" s="1" t="s">
        <v>209</v>
      </c>
      <c r="F136" s="1"/>
      <c r="G136" s="1"/>
      <c r="H136" s="1"/>
      <c r="I136" s="1" t="s">
        <v>181</v>
      </c>
      <c r="J136" s="1" t="s">
        <v>185</v>
      </c>
      <c r="K136" s="1" t="s">
        <v>1</v>
      </c>
      <c r="L136" s="1">
        <f>Tabella13[[#This Row],[date_end]]-Tabella13[[#This Row],[date_start]]</f>
        <v>2862</v>
      </c>
    </row>
    <row r="137" spans="1:35" x14ac:dyDescent="0.2">
      <c r="A137" s="1" t="s">
        <v>143</v>
      </c>
      <c r="B137" s="2">
        <v>42817</v>
      </c>
      <c r="C137" s="2">
        <v>42839</v>
      </c>
      <c r="D137" s="1">
        <v>2017</v>
      </c>
      <c r="E137" s="1">
        <v>2017</v>
      </c>
      <c r="F137" s="1"/>
      <c r="G137" s="1"/>
      <c r="H137" s="1">
        <v>0</v>
      </c>
      <c r="I137" s="1" t="s">
        <v>38</v>
      </c>
      <c r="J137" s="1" t="s">
        <v>203</v>
      </c>
      <c r="K137" s="1" t="s">
        <v>206</v>
      </c>
      <c r="L137" s="1">
        <f>Tabella13[[#This Row],[date_end]]-Tabella13[[#This Row],[date_start]]</f>
        <v>22</v>
      </c>
    </row>
    <row r="138" spans="1:35" x14ac:dyDescent="0.2">
      <c r="A138" s="4" t="s">
        <v>144</v>
      </c>
      <c r="B138" s="5">
        <v>43040</v>
      </c>
      <c r="C138" s="5">
        <v>45657</v>
      </c>
      <c r="D138" s="4">
        <v>2017</v>
      </c>
      <c r="E138" s="4" t="s">
        <v>209</v>
      </c>
      <c r="F138" s="4"/>
      <c r="G138" s="4"/>
      <c r="H138" s="4"/>
      <c r="I138" s="4" t="s">
        <v>181</v>
      </c>
      <c r="J138" s="4" t="s">
        <v>194</v>
      </c>
      <c r="K138" s="4" t="s">
        <v>21</v>
      </c>
      <c r="L138" s="4">
        <f>Tabella13[[#This Row],[date_end]]-Tabella13[[#This Row],[date_start]]</f>
        <v>2617</v>
      </c>
    </row>
    <row r="139" spans="1:35" x14ac:dyDescent="0.2">
      <c r="A139" s="1" t="s">
        <v>128</v>
      </c>
      <c r="B139" s="2">
        <v>43101</v>
      </c>
      <c r="C139" s="2">
        <v>43784</v>
      </c>
      <c r="D139" s="1">
        <v>2018</v>
      </c>
      <c r="E139" s="1">
        <v>2019</v>
      </c>
      <c r="F139" s="1">
        <v>2011</v>
      </c>
      <c r="G139" s="1" t="s">
        <v>209</v>
      </c>
      <c r="H139" s="1">
        <v>1</v>
      </c>
      <c r="I139" s="1" t="s">
        <v>38</v>
      </c>
      <c r="J139" s="1" t="s">
        <v>203</v>
      </c>
      <c r="K139" s="1" t="s">
        <v>223</v>
      </c>
      <c r="L139" s="1">
        <f>Tabella13[[#This Row],[date_end]]-Tabella13[[#This Row],[date_start]]</f>
        <v>683</v>
      </c>
    </row>
    <row r="140" spans="1:35" x14ac:dyDescent="0.2">
      <c r="A140" s="1" t="s">
        <v>146</v>
      </c>
      <c r="B140" s="2">
        <v>43101</v>
      </c>
      <c r="C140" s="2">
        <v>43223</v>
      </c>
      <c r="D140" s="1">
        <v>2018</v>
      </c>
      <c r="E140" s="1">
        <v>2018</v>
      </c>
      <c r="F140" s="1">
        <v>2018</v>
      </c>
      <c r="G140" s="1">
        <v>2018</v>
      </c>
      <c r="H140" s="1">
        <v>0</v>
      </c>
      <c r="I140" s="1" t="s">
        <v>38</v>
      </c>
      <c r="J140" s="1" t="s">
        <v>203</v>
      </c>
      <c r="K140" s="1" t="s">
        <v>208</v>
      </c>
      <c r="L140" s="1">
        <f>Tabella13[[#This Row],[date_end]]-Tabella13[[#This Row],[date_start]]</f>
        <v>122</v>
      </c>
    </row>
    <row r="141" spans="1:35" x14ac:dyDescent="0.2">
      <c r="A141" s="1" t="s">
        <v>149</v>
      </c>
      <c r="B141" s="2">
        <v>43101</v>
      </c>
      <c r="C141" s="2">
        <v>45657</v>
      </c>
      <c r="D141" s="1">
        <v>2018</v>
      </c>
      <c r="E141" s="1" t="s">
        <v>209</v>
      </c>
      <c r="F141" s="1"/>
      <c r="G141" s="1"/>
      <c r="H141" s="1"/>
      <c r="I141" s="1" t="s">
        <v>182</v>
      </c>
      <c r="J141" s="1" t="s">
        <v>251</v>
      </c>
      <c r="K141" s="1" t="s">
        <v>202</v>
      </c>
      <c r="L141" s="1">
        <f>Tabella13[[#This Row],[date_end]]-Tabella13[[#This Row],[date_start]]</f>
        <v>2556</v>
      </c>
    </row>
    <row r="142" spans="1:35" x14ac:dyDescent="0.2">
      <c r="A142" s="1" t="s">
        <v>150</v>
      </c>
      <c r="B142" s="2">
        <v>43101</v>
      </c>
      <c r="C142" s="2">
        <v>45657</v>
      </c>
      <c r="D142" s="1">
        <v>2018</v>
      </c>
      <c r="E142" s="1" t="s">
        <v>209</v>
      </c>
      <c r="F142" s="1"/>
      <c r="G142" s="1"/>
      <c r="H142" s="1"/>
      <c r="I142" s="1" t="s">
        <v>182</v>
      </c>
      <c r="J142" s="1" t="s">
        <v>185</v>
      </c>
      <c r="K142" s="1" t="s">
        <v>151</v>
      </c>
      <c r="L142" s="1">
        <f>Tabella13[[#This Row],[date_end]]-Tabella13[[#This Row],[date_start]]</f>
        <v>2556</v>
      </c>
    </row>
    <row r="143" spans="1:35" x14ac:dyDescent="0.2">
      <c r="A143" s="1" t="s">
        <v>148</v>
      </c>
      <c r="B143" s="2">
        <v>43132</v>
      </c>
      <c r="C143" s="2">
        <v>44196</v>
      </c>
      <c r="D143" s="1">
        <v>2018</v>
      </c>
      <c r="E143" s="1">
        <v>2020</v>
      </c>
      <c r="F143" s="1"/>
      <c r="G143" s="1"/>
      <c r="H143" s="1"/>
      <c r="I143" s="1" t="s">
        <v>181</v>
      </c>
      <c r="J143" s="1" t="s">
        <v>251</v>
      </c>
      <c r="K143" s="1" t="s">
        <v>200</v>
      </c>
      <c r="L143" s="1">
        <f>Tabella13[[#This Row],[date_end]]-Tabella13[[#This Row],[date_start]]</f>
        <v>1064</v>
      </c>
    </row>
    <row r="144" spans="1:35" x14ac:dyDescent="0.2">
      <c r="A144" s="4" t="s">
        <v>140</v>
      </c>
      <c r="B144" s="5">
        <v>43282</v>
      </c>
      <c r="C144" s="5">
        <v>45657</v>
      </c>
      <c r="D144" s="4">
        <v>2018</v>
      </c>
      <c r="E144" s="4" t="s">
        <v>209</v>
      </c>
      <c r="F144" s="4"/>
      <c r="G144" s="4"/>
      <c r="H144" s="4"/>
      <c r="I144" s="4" t="s">
        <v>181</v>
      </c>
      <c r="J144" s="4" t="s">
        <v>185</v>
      </c>
      <c r="K144" s="4" t="s">
        <v>187</v>
      </c>
      <c r="L144" s="4">
        <f>Tabella13[[#This Row],[date_end]]-Tabella13[[#This Row],[date_start]]</f>
        <v>2375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12" x14ac:dyDescent="0.2">
      <c r="A145" s="1" t="s">
        <v>147</v>
      </c>
      <c r="B145" s="2">
        <v>43356</v>
      </c>
      <c r="C145" s="2">
        <v>43376</v>
      </c>
      <c r="D145" s="1">
        <v>2018</v>
      </c>
      <c r="E145" s="1">
        <v>2018</v>
      </c>
      <c r="F145" s="1">
        <v>2018</v>
      </c>
      <c r="G145" s="1">
        <v>2018</v>
      </c>
      <c r="H145" s="1">
        <v>0</v>
      </c>
      <c r="I145" s="1" t="s">
        <v>38</v>
      </c>
      <c r="J145" s="1" t="s">
        <v>203</v>
      </c>
      <c r="K145" s="1" t="s">
        <v>206</v>
      </c>
      <c r="L145" s="1">
        <f>Tabella13[[#This Row],[date_end]]-Tabella13[[#This Row],[date_start]]</f>
        <v>20</v>
      </c>
    </row>
    <row r="146" spans="1:12" x14ac:dyDescent="0.2">
      <c r="A146" s="1" t="s">
        <v>239</v>
      </c>
      <c r="B146" s="2">
        <v>43374</v>
      </c>
      <c r="C146" s="2">
        <v>45657</v>
      </c>
      <c r="D146" s="1">
        <v>2018</v>
      </c>
      <c r="E146" s="1" t="s">
        <v>209</v>
      </c>
      <c r="F146" s="1"/>
      <c r="G146" s="1"/>
      <c r="H146" s="1"/>
      <c r="I146" s="1" t="s">
        <v>38</v>
      </c>
      <c r="J146" s="1" t="s">
        <v>194</v>
      </c>
      <c r="K146" s="1" t="s">
        <v>21</v>
      </c>
      <c r="L146" s="1">
        <f>Tabella13[[#This Row],[date_end]]-Tabella13[[#This Row],[date_start]]</f>
        <v>2283</v>
      </c>
    </row>
    <row r="147" spans="1:12" x14ac:dyDescent="0.2">
      <c r="A147" s="1" t="s">
        <v>152</v>
      </c>
      <c r="B147" s="2">
        <v>43466</v>
      </c>
      <c r="C147" s="2">
        <v>43685</v>
      </c>
      <c r="D147" s="1">
        <v>2019</v>
      </c>
      <c r="E147" s="1">
        <v>2019</v>
      </c>
      <c r="F147" s="1">
        <v>2019</v>
      </c>
      <c r="G147" s="1">
        <v>2019</v>
      </c>
      <c r="H147" s="1">
        <v>0</v>
      </c>
      <c r="I147" s="1" t="s">
        <v>38</v>
      </c>
      <c r="J147" s="1" t="s">
        <v>203</v>
      </c>
      <c r="K147" s="1" t="s">
        <v>153</v>
      </c>
      <c r="L147" s="1">
        <f>Tabella13[[#This Row],[date_end]]-Tabella13[[#This Row],[date_start]]</f>
        <v>219</v>
      </c>
    </row>
    <row r="148" spans="1:12" x14ac:dyDescent="0.2">
      <c r="A148" s="1" t="s">
        <v>246</v>
      </c>
      <c r="B148" s="2">
        <v>43486</v>
      </c>
      <c r="C148" s="2">
        <v>45657</v>
      </c>
      <c r="D148" s="1">
        <v>2019</v>
      </c>
      <c r="E148" s="1" t="s">
        <v>209</v>
      </c>
      <c r="F148" s="1"/>
      <c r="G148" s="1"/>
      <c r="H148" s="1"/>
      <c r="I148" s="1" t="s">
        <v>182</v>
      </c>
      <c r="J148" s="1" t="s">
        <v>185</v>
      </c>
      <c r="K148" s="1" t="s">
        <v>1</v>
      </c>
      <c r="L148" s="1">
        <f>Tabella13[[#This Row],[date_end]]-Tabella13[[#This Row],[date_start]]</f>
        <v>2171</v>
      </c>
    </row>
    <row r="149" spans="1:12" x14ac:dyDescent="0.2">
      <c r="A149" s="1" t="s">
        <v>155</v>
      </c>
      <c r="B149" s="2">
        <v>43617</v>
      </c>
      <c r="C149" s="2">
        <v>45657</v>
      </c>
      <c r="D149" s="1">
        <v>2019</v>
      </c>
      <c r="E149" s="1" t="s">
        <v>209</v>
      </c>
      <c r="F149" s="1"/>
      <c r="G149" s="1"/>
      <c r="H149" s="1"/>
      <c r="I149" s="1" t="s">
        <v>38</v>
      </c>
      <c r="J149" s="1" t="s">
        <v>251</v>
      </c>
      <c r="K149" s="1" t="s">
        <v>200</v>
      </c>
      <c r="L149" s="1">
        <f>Tabella13[[#This Row],[date_end]]-Tabella13[[#This Row],[date_start]]</f>
        <v>2040</v>
      </c>
    </row>
    <row r="150" spans="1:12" x14ac:dyDescent="0.2">
      <c r="A150" s="1" t="s">
        <v>154</v>
      </c>
      <c r="B150" s="2">
        <v>43735</v>
      </c>
      <c r="C150" s="2">
        <v>43762</v>
      </c>
      <c r="D150" s="1">
        <v>2019</v>
      </c>
      <c r="E150" s="1">
        <v>2019</v>
      </c>
      <c r="F150" s="1">
        <v>2019</v>
      </c>
      <c r="G150" s="1">
        <v>2019</v>
      </c>
      <c r="H150" s="1">
        <v>0</v>
      </c>
      <c r="I150" s="1" t="s">
        <v>38</v>
      </c>
      <c r="J150" s="1" t="s">
        <v>203</v>
      </c>
      <c r="K150" s="1" t="s">
        <v>206</v>
      </c>
      <c r="L150" s="1">
        <f>Tabella13[[#This Row],[date_end]]-Tabella13[[#This Row],[date_start]]</f>
        <v>27</v>
      </c>
    </row>
    <row r="151" spans="1:12" x14ac:dyDescent="0.2">
      <c r="A151" s="1" t="s">
        <v>157</v>
      </c>
      <c r="B151" s="2">
        <v>43921</v>
      </c>
      <c r="C151" s="2">
        <v>45657</v>
      </c>
      <c r="D151" s="1">
        <v>2020</v>
      </c>
      <c r="E151" s="1" t="s">
        <v>209</v>
      </c>
      <c r="F151" s="1"/>
      <c r="G151" s="1"/>
      <c r="H151" s="1"/>
      <c r="I151" s="1" t="s">
        <v>181</v>
      </c>
      <c r="J151" s="1" t="s">
        <v>251</v>
      </c>
      <c r="K151" s="1" t="s">
        <v>200</v>
      </c>
      <c r="L151" s="1">
        <f>Tabella13[[#This Row],[date_end]]-Tabella13[[#This Row],[date_start]]</f>
        <v>1736</v>
      </c>
    </row>
    <row r="152" spans="1:12" x14ac:dyDescent="0.2">
      <c r="A152" s="1" t="s">
        <v>156</v>
      </c>
      <c r="B152" s="2">
        <v>43989</v>
      </c>
      <c r="C152" s="2">
        <v>44041</v>
      </c>
      <c r="D152" s="1">
        <v>2020</v>
      </c>
      <c r="E152" s="1">
        <v>2020</v>
      </c>
      <c r="F152" s="1">
        <v>2020</v>
      </c>
      <c r="G152" s="1">
        <v>2020</v>
      </c>
      <c r="H152" s="1">
        <v>0</v>
      </c>
      <c r="I152" s="1" t="s">
        <v>38</v>
      </c>
      <c r="J152" s="1" t="s">
        <v>203</v>
      </c>
      <c r="K152" s="1" t="s">
        <v>206</v>
      </c>
      <c r="L152" s="1">
        <f>Tabella13[[#This Row],[date_end]]-Tabella13[[#This Row],[date_start]]</f>
        <v>52</v>
      </c>
    </row>
    <row r="153" spans="1:12" x14ac:dyDescent="0.2">
      <c r="A153" s="1" t="s">
        <v>167</v>
      </c>
      <c r="B153" s="2">
        <v>43998</v>
      </c>
      <c r="C153" s="2">
        <v>44743</v>
      </c>
      <c r="D153" s="1">
        <v>2020</v>
      </c>
      <c r="E153" s="1">
        <v>2022</v>
      </c>
      <c r="F153" s="1"/>
      <c r="G153" s="1"/>
      <c r="H153" s="1"/>
      <c r="I153" s="1" t="s">
        <v>224</v>
      </c>
      <c r="J153" s="1" t="s">
        <v>185</v>
      </c>
      <c r="K153" s="1" t="s">
        <v>123</v>
      </c>
      <c r="L153" s="1">
        <f>Tabella13[[#This Row],[date_end]]-Tabella13[[#This Row],[date_start]]</f>
        <v>745</v>
      </c>
    </row>
    <row r="154" spans="1:12" x14ac:dyDescent="0.2">
      <c r="A154" s="1" t="s">
        <v>232</v>
      </c>
      <c r="B154" s="2">
        <v>44058</v>
      </c>
      <c r="C154" s="2">
        <v>44156</v>
      </c>
      <c r="D154" s="1">
        <v>2020</v>
      </c>
      <c r="E154" s="1">
        <v>2020</v>
      </c>
      <c r="F154" s="1"/>
      <c r="G154" s="1"/>
      <c r="H154" s="1"/>
      <c r="I154" s="1" t="s">
        <v>182</v>
      </c>
      <c r="J154" s="1" t="s">
        <v>194</v>
      </c>
      <c r="K154" s="1" t="s">
        <v>195</v>
      </c>
      <c r="L154" s="1">
        <f>Tabella13[[#This Row],[date_end]]-Tabella13[[#This Row],[date_start]]</f>
        <v>98</v>
      </c>
    </row>
    <row r="155" spans="1:12" x14ac:dyDescent="0.2">
      <c r="A155" s="1" t="s">
        <v>231</v>
      </c>
      <c r="B155" s="2">
        <v>44197</v>
      </c>
      <c r="C155" s="2">
        <v>45230</v>
      </c>
      <c r="D155" s="1">
        <v>2021</v>
      </c>
      <c r="E155" s="1">
        <v>2023</v>
      </c>
      <c r="F155" s="1">
        <v>2013</v>
      </c>
      <c r="G155" s="1">
        <v>2024</v>
      </c>
      <c r="H155" s="1">
        <v>1</v>
      </c>
      <c r="I155" s="1" t="s">
        <v>180</v>
      </c>
      <c r="J155" s="1" t="s">
        <v>185</v>
      </c>
      <c r="K155" s="1" t="s">
        <v>1</v>
      </c>
      <c r="L155" s="1">
        <f>Tabella13[[#This Row],[date_end]]-Tabella13[[#This Row],[date_start]]</f>
        <v>1033</v>
      </c>
    </row>
    <row r="156" spans="1:12" x14ac:dyDescent="0.2">
      <c r="A156" s="1" t="s">
        <v>233</v>
      </c>
      <c r="B156" s="2">
        <v>44197</v>
      </c>
      <c r="C156" s="2">
        <v>44561</v>
      </c>
      <c r="D156" s="1">
        <v>2021</v>
      </c>
      <c r="E156" s="1">
        <v>2021</v>
      </c>
      <c r="F156" s="1"/>
      <c r="G156" s="1"/>
      <c r="H156" s="1"/>
      <c r="I156" s="1" t="s">
        <v>181</v>
      </c>
      <c r="J156" s="1" t="s">
        <v>203</v>
      </c>
      <c r="K156" s="1" t="s">
        <v>234</v>
      </c>
      <c r="L156" s="1">
        <f>Tabella13[[#This Row],[date_end]]-Tabella13[[#This Row],[date_start]]</f>
        <v>364</v>
      </c>
    </row>
    <row r="157" spans="1:12" x14ac:dyDescent="0.2">
      <c r="A157" s="1" t="s">
        <v>238</v>
      </c>
      <c r="B157" s="2">
        <v>44562</v>
      </c>
      <c r="C157" s="2">
        <v>45534</v>
      </c>
      <c r="D157" s="1">
        <v>2022</v>
      </c>
      <c r="E157" s="1">
        <v>2024</v>
      </c>
      <c r="F157" s="1"/>
      <c r="G157" s="1"/>
      <c r="H157" s="1"/>
      <c r="I157" s="1" t="s">
        <v>181</v>
      </c>
      <c r="J157" s="1" t="s">
        <v>185</v>
      </c>
      <c r="K157" s="1" t="s">
        <v>188</v>
      </c>
      <c r="L157" s="1">
        <f>Tabella13[[#This Row],[date_end]]-Tabella13[[#This Row],[date_start]]</f>
        <v>972</v>
      </c>
    </row>
    <row r="158" spans="1:12" x14ac:dyDescent="0.2">
      <c r="A158" s="1" t="s">
        <v>228</v>
      </c>
      <c r="B158" s="2">
        <v>44617</v>
      </c>
      <c r="C158" s="2">
        <v>45657</v>
      </c>
      <c r="D158" s="1">
        <v>2022</v>
      </c>
      <c r="E158" s="1" t="s">
        <v>209</v>
      </c>
      <c r="F158" s="1"/>
      <c r="G158" s="1"/>
      <c r="H158" s="1"/>
      <c r="I158" s="1" t="s">
        <v>38</v>
      </c>
      <c r="J158" s="1" t="s">
        <v>203</v>
      </c>
      <c r="K158" s="1" t="s">
        <v>142</v>
      </c>
      <c r="L158" s="1">
        <f>Tabella13[[#This Row],[date_end]]-Tabella13[[#This Row],[date_start]]</f>
        <v>1040</v>
      </c>
    </row>
    <row r="159" spans="1:12" x14ac:dyDescent="0.2">
      <c r="A159" s="1" t="s">
        <v>229</v>
      </c>
      <c r="B159" s="2">
        <v>44617</v>
      </c>
      <c r="C159" s="2">
        <v>45657</v>
      </c>
      <c r="D159" s="1">
        <v>2022</v>
      </c>
      <c r="E159" s="1" t="s">
        <v>209</v>
      </c>
      <c r="F159" s="1"/>
      <c r="G159" s="1"/>
      <c r="H159" s="1"/>
      <c r="I159" s="1" t="s">
        <v>38</v>
      </c>
      <c r="J159" s="1" t="s">
        <v>203</v>
      </c>
      <c r="K159" s="1" t="s">
        <v>230</v>
      </c>
      <c r="L159" s="1">
        <f>Tabella13[[#This Row],[date_end]]-Tabella13[[#This Row],[date_start]]</f>
        <v>1040</v>
      </c>
    </row>
    <row r="160" spans="1:12" x14ac:dyDescent="0.2">
      <c r="A160" s="4" t="s">
        <v>237</v>
      </c>
      <c r="B160" s="5">
        <v>44621</v>
      </c>
      <c r="C160" s="5">
        <v>45657</v>
      </c>
      <c r="D160" s="4">
        <v>2022</v>
      </c>
      <c r="E160" s="4" t="s">
        <v>209</v>
      </c>
      <c r="F160" s="4"/>
      <c r="G160" s="4"/>
      <c r="H160" s="4"/>
      <c r="I160" s="4" t="s">
        <v>38</v>
      </c>
      <c r="J160" s="4" t="s">
        <v>203</v>
      </c>
      <c r="K160" s="4" t="s">
        <v>234</v>
      </c>
      <c r="L160" s="4">
        <f>Tabella13[[#This Row],[date_end]]-Tabella13[[#This Row],[date_start]]</f>
        <v>1036</v>
      </c>
    </row>
    <row r="161" spans="1:12" x14ac:dyDescent="0.2">
      <c r="A161" s="1" t="s">
        <v>235</v>
      </c>
      <c r="B161" s="2">
        <v>44866</v>
      </c>
      <c r="C161" s="2">
        <v>44926</v>
      </c>
      <c r="D161" s="1">
        <v>2022</v>
      </c>
      <c r="E161" s="1">
        <v>2022</v>
      </c>
      <c r="F161" s="1"/>
      <c r="G161" s="1"/>
      <c r="H161" s="1"/>
      <c r="I161" s="1" t="s">
        <v>182</v>
      </c>
      <c r="J161" s="1" t="s">
        <v>194</v>
      </c>
      <c r="K161" s="1" t="s">
        <v>236</v>
      </c>
      <c r="L161" s="1">
        <f>Tabella13[[#This Row],[date_end]]-Tabella13[[#This Row],[date_start]]</f>
        <v>60</v>
      </c>
    </row>
    <row r="162" spans="1:12" x14ac:dyDescent="0.2">
      <c r="A162" s="1" t="s">
        <v>227</v>
      </c>
      <c r="B162" s="2">
        <v>44896</v>
      </c>
      <c r="C162" s="2">
        <v>45169</v>
      </c>
      <c r="D162" s="1">
        <v>2022</v>
      </c>
      <c r="E162" s="1">
        <v>2023</v>
      </c>
      <c r="F162" s="1"/>
      <c r="G162" s="1"/>
      <c r="H162" s="1"/>
      <c r="I162" s="1" t="s">
        <v>38</v>
      </c>
      <c r="J162" s="1" t="s">
        <v>203</v>
      </c>
      <c r="K162" s="1" t="s">
        <v>153</v>
      </c>
      <c r="L162" s="1">
        <f>Tabella13[[#This Row],[date_end]]-Tabella13[[#This Row],[date_start]]</f>
        <v>273</v>
      </c>
    </row>
    <row r="163" spans="1:12" x14ac:dyDescent="0.2">
      <c r="A163" s="1" t="s">
        <v>240</v>
      </c>
      <c r="B163" s="2">
        <v>44851</v>
      </c>
      <c r="C163" s="2">
        <v>45657</v>
      </c>
      <c r="D163" s="1">
        <v>2022</v>
      </c>
      <c r="E163" s="1" t="s">
        <v>209</v>
      </c>
      <c r="F163" s="1"/>
      <c r="G163" s="1"/>
      <c r="H163" s="1"/>
      <c r="I163" s="1" t="s">
        <v>181</v>
      </c>
      <c r="J163" s="1" t="s">
        <v>203</v>
      </c>
      <c r="K163" s="1" t="s">
        <v>234</v>
      </c>
      <c r="L163" s="1">
        <f>Tabella13[[#This Row],[date_end]]-Tabella13[[#This Row],[date_start]]</f>
        <v>806</v>
      </c>
    </row>
    <row r="164" spans="1:12" x14ac:dyDescent="0.2">
      <c r="A164" s="1" t="s">
        <v>241</v>
      </c>
      <c r="B164" s="2">
        <v>44896</v>
      </c>
      <c r="C164" s="2">
        <v>45473</v>
      </c>
      <c r="D164" s="1">
        <v>2022</v>
      </c>
      <c r="E164" s="1">
        <v>2024</v>
      </c>
      <c r="F164" s="1"/>
      <c r="G164" s="1"/>
      <c r="H164" s="1"/>
      <c r="I164" s="1" t="s">
        <v>181</v>
      </c>
      <c r="J164" s="1" t="s">
        <v>185</v>
      </c>
      <c r="K164" s="1" t="s">
        <v>151</v>
      </c>
      <c r="L164" s="1">
        <f>Tabella13[[#This Row],[date_end]]-Tabella13[[#This Row],[date_start]]</f>
        <v>577</v>
      </c>
    </row>
    <row r="165" spans="1:12" x14ac:dyDescent="0.2">
      <c r="A165" s="1" t="s">
        <v>242</v>
      </c>
      <c r="B165" s="2">
        <v>44197</v>
      </c>
      <c r="C165" s="2">
        <v>45657</v>
      </c>
      <c r="D165" s="1">
        <v>2021</v>
      </c>
      <c r="E165" s="1" t="s">
        <v>209</v>
      </c>
      <c r="F165" s="1">
        <v>2020</v>
      </c>
      <c r="G165" s="1">
        <v>2024</v>
      </c>
      <c r="H165" s="1"/>
      <c r="I165" s="1" t="s">
        <v>181</v>
      </c>
      <c r="J165" s="1" t="s">
        <v>194</v>
      </c>
      <c r="K165" s="1" t="s">
        <v>10</v>
      </c>
      <c r="L165" s="1">
        <f>Tabella13[[#This Row],[date_end]]-Tabella13[[#This Row],[date_start]]</f>
        <v>1460</v>
      </c>
    </row>
    <row r="166" spans="1:12" x14ac:dyDescent="0.2">
      <c r="A166" s="1" t="s">
        <v>243</v>
      </c>
      <c r="B166" s="2">
        <v>45341</v>
      </c>
      <c r="C166" s="2">
        <v>45657</v>
      </c>
      <c r="D166" s="1">
        <v>2024</v>
      </c>
      <c r="E166" s="1" t="s">
        <v>209</v>
      </c>
      <c r="F166" s="1"/>
      <c r="G166" s="1"/>
      <c r="H166" s="1"/>
      <c r="I166" s="1" t="s">
        <v>181</v>
      </c>
      <c r="J166" s="1" t="s">
        <v>194</v>
      </c>
      <c r="K166" s="1"/>
      <c r="L166" s="1">
        <f>Tabella13[[#This Row],[date_end]]-Tabella13[[#This Row],[date_start]]</f>
        <v>316</v>
      </c>
    </row>
    <row r="167" spans="1:12" x14ac:dyDescent="0.2">
      <c r="A167" s="1" t="s">
        <v>244</v>
      </c>
      <c r="B167" s="2">
        <v>45292</v>
      </c>
      <c r="C167" s="2">
        <v>45657</v>
      </c>
      <c r="D167" s="1">
        <v>2024</v>
      </c>
      <c r="E167" s="1" t="s">
        <v>209</v>
      </c>
      <c r="F167" s="1"/>
      <c r="G167" s="1"/>
      <c r="H167" s="1"/>
      <c r="I167" s="1" t="s">
        <v>224</v>
      </c>
      <c r="J167" s="1" t="s">
        <v>194</v>
      </c>
      <c r="K167" s="1"/>
      <c r="L167" s="1">
        <f>Tabella13[[#This Row],[date_end]]-Tabella13[[#This Row],[date_start]]</f>
        <v>365</v>
      </c>
    </row>
    <row r="168" spans="1:12" x14ac:dyDescent="0.2">
      <c r="A168" s="1" t="s">
        <v>245</v>
      </c>
      <c r="B168" s="2">
        <v>45292</v>
      </c>
      <c r="C168" s="2">
        <v>45657</v>
      </c>
      <c r="D168" s="1">
        <v>2024</v>
      </c>
      <c r="E168" s="1" t="s">
        <v>209</v>
      </c>
      <c r="F168" s="1"/>
      <c r="G168" s="1"/>
      <c r="H168" s="1"/>
      <c r="I168" s="1" t="s">
        <v>182</v>
      </c>
      <c r="J168" s="1" t="s">
        <v>194</v>
      </c>
      <c r="K168" s="1" t="s">
        <v>196</v>
      </c>
      <c r="L168" s="1">
        <f>Tabella13[[#This Row],[date_end]]-Tabella13[[#This Row],[date_start]]</f>
        <v>365</v>
      </c>
    </row>
    <row r="169" spans="1:12" x14ac:dyDescent="0.2">
      <c r="A169" s="1" t="s">
        <v>248</v>
      </c>
      <c r="B169" s="2">
        <v>44927</v>
      </c>
      <c r="C169" s="2">
        <v>45657</v>
      </c>
      <c r="D169" s="1">
        <v>2023</v>
      </c>
      <c r="E169" s="1" t="s">
        <v>209</v>
      </c>
      <c r="F169" s="1"/>
      <c r="G169" s="1"/>
      <c r="H169" s="1"/>
      <c r="I169" s="1" t="s">
        <v>182</v>
      </c>
      <c r="J169" s="1" t="s">
        <v>185</v>
      </c>
      <c r="K169" s="1" t="s">
        <v>249</v>
      </c>
      <c r="L169" s="1">
        <f>Tabella13[[#This Row],[date_end]]-Tabella13[[#This Row],[date_start]]</f>
        <v>730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missioni_principale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Vignoli</dc:creator>
  <cp:lastModifiedBy>Valerio Vignoli</cp:lastModifiedBy>
  <dcterms:created xsi:type="dcterms:W3CDTF">2021-03-26T07:52:09Z</dcterms:created>
  <dcterms:modified xsi:type="dcterms:W3CDTF">2025-02-03T17:19:31Z</dcterms:modified>
</cp:coreProperties>
</file>