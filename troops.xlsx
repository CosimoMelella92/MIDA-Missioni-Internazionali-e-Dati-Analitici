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ovignoli/Desktop/dataset and scripts/articolo_IP/"/>
    </mc:Choice>
  </mc:AlternateContent>
  <xr:revisionPtr revIDLastSave="0" documentId="13_ncr:1_{215E4132-9216-4A4A-ABB2-4BB0C026028A}" xr6:coauthVersionLast="47" xr6:coauthVersionMax="47" xr10:uidLastSave="{00000000-0000-0000-0000-000000000000}"/>
  <bookViews>
    <workbookView xWindow="380" yWindow="860" windowWidth="14880" windowHeight="14100" xr2:uid="{CD8720E1-71A2-A84F-BF77-B8E1C0A704EF}"/>
  </bookViews>
  <sheets>
    <sheet name="Un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1" l="1"/>
  <c r="K20" i="1"/>
  <c r="L20" i="1"/>
  <c r="J20" i="1"/>
  <c r="I20" i="1"/>
  <c r="G20" i="1"/>
  <c r="H20" i="1"/>
  <c r="D20" i="1"/>
  <c r="E20" i="1"/>
  <c r="C20" i="1"/>
  <c r="M19" i="1"/>
  <c r="L19" i="1"/>
  <c r="E19" i="1"/>
  <c r="K19" i="1"/>
  <c r="J19" i="1"/>
  <c r="I19" i="1"/>
  <c r="B19" i="1"/>
  <c r="H19" i="1"/>
  <c r="G18" i="1"/>
  <c r="G19" i="1"/>
  <c r="F19" i="1"/>
  <c r="C19" i="1"/>
  <c r="D19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M17" i="1"/>
  <c r="M15" i="1"/>
  <c r="M12" i="1"/>
  <c r="M8" i="1"/>
  <c r="M16" i="1"/>
  <c r="M1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L18" i="1" l="1"/>
  <c r="K18" i="1"/>
  <c r="J18" i="1"/>
  <c r="I18" i="1"/>
  <c r="M18" i="1" s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K13" i="1"/>
  <c r="J13" i="1"/>
  <c r="I13" i="1"/>
  <c r="M13" i="1" s="1"/>
  <c r="L12" i="1"/>
  <c r="K12" i="1"/>
  <c r="J12" i="1"/>
  <c r="I12" i="1"/>
  <c r="L11" i="1"/>
  <c r="K11" i="1"/>
  <c r="J11" i="1"/>
  <c r="I11" i="1"/>
  <c r="L10" i="1"/>
  <c r="K10" i="1"/>
  <c r="J10" i="1"/>
  <c r="I10" i="1"/>
  <c r="M10" i="1" s="1"/>
  <c r="L9" i="1"/>
  <c r="K9" i="1"/>
  <c r="J9" i="1"/>
  <c r="I9" i="1"/>
  <c r="M9" i="1" s="1"/>
  <c r="L8" i="1"/>
  <c r="K8" i="1"/>
  <c r="J8" i="1"/>
  <c r="I8" i="1"/>
  <c r="L7" i="1"/>
  <c r="K7" i="1"/>
  <c r="J7" i="1"/>
  <c r="I7" i="1"/>
  <c r="M7" i="1" s="1"/>
  <c r="L6" i="1"/>
  <c r="K6" i="1"/>
  <c r="J6" i="1"/>
  <c r="I6" i="1"/>
  <c r="M6" i="1" s="1"/>
  <c r="L5" i="1"/>
  <c r="K5" i="1"/>
  <c r="J5" i="1"/>
  <c r="I5" i="1"/>
  <c r="M5" i="1" s="1"/>
  <c r="L4" i="1"/>
  <c r="K4" i="1"/>
  <c r="J4" i="1"/>
  <c r="I4" i="1"/>
  <c r="M4" i="1" s="1"/>
  <c r="L3" i="1"/>
  <c r="K3" i="1"/>
  <c r="J3" i="1"/>
  <c r="I3" i="1"/>
  <c r="M3" i="1" s="1"/>
  <c r="L2" i="1"/>
  <c r="K2" i="1"/>
  <c r="J2" i="1"/>
  <c r="I2" i="1"/>
  <c r="M2" i="1" s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F2" i="1"/>
  <c r="E2" i="1"/>
  <c r="D2" i="1"/>
  <c r="C2" i="1"/>
  <c r="M11" i="1" l="1"/>
</calcChain>
</file>

<file path=xl/sharedStrings.xml><?xml version="1.0" encoding="utf-8"?>
<sst xmlns="http://schemas.openxmlformats.org/spreadsheetml/2006/main" count="13" uniqueCount="13">
  <si>
    <t>troops</t>
  </si>
  <si>
    <t>year</t>
  </si>
  <si>
    <t>balkans</t>
  </si>
  <si>
    <t>europe</t>
  </si>
  <si>
    <t>mo</t>
  </si>
  <si>
    <t>asia</t>
  </si>
  <si>
    <t>africa</t>
  </si>
  <si>
    <t>mena</t>
  </si>
  <si>
    <t>un</t>
  </si>
  <si>
    <t>nato</t>
  </si>
  <si>
    <t>eu</t>
  </si>
  <si>
    <t>bilateral</t>
  </si>
  <si>
    <t>multinational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</si>
</sst>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49AA-FD89-A944-8FAC-5B2429EA280E}">
  <dimension ref="A1:M20"/>
  <sheetViews>
    <sheetView tabSelected="1" workbookViewId="0">
      <selection activeCell="M21" sqref="M21"/>
    </sheetView>
  </sheetViews>
  <sheetFormatPr baseColWidth="10" defaultRowHeight="16" x14ac:dyDescent="0.2"/>
  <cols>
    <col min="4" max="4" width="21.1640625" customWidth="1"/>
    <col min="13" max="13" width="13.33203125" customWidth="1"/>
  </cols>
  <sheetData>
    <row r="1" spans="1:13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2004</v>
      </c>
      <c r="B2">
        <v>9782</v>
      </c>
      <c r="C2">
        <f>1161+23+15+157+31+389+2634+130+19+5+1</f>
        <v>4565</v>
      </c>
      <c r="D2">
        <f>49</f>
        <v>49</v>
      </c>
      <c r="E2">
        <f>52+17+7+3191</f>
        <v>3267</v>
      </c>
      <c r="F2">
        <f>1039+485+8</f>
        <v>1532</v>
      </c>
      <c r="G2">
        <f>228+78+5</f>
        <v>311</v>
      </c>
      <c r="H2">
        <f>4+54</f>
        <v>58</v>
      </c>
      <c r="I2">
        <f>1+52+7+8+5+54</f>
        <v>127</v>
      </c>
      <c r="J2">
        <f>1161+389+2634+228+130+19+1039</f>
        <v>5600</v>
      </c>
      <c r="K2">
        <f>23+15+5+4</f>
        <v>47</v>
      </c>
      <c r="L2">
        <f>157+31+49</f>
        <v>237</v>
      </c>
      <c r="M2">
        <f>9782-SUM(I2:L2)</f>
        <v>3771</v>
      </c>
    </row>
    <row r="3" spans="1:13" x14ac:dyDescent="0.2">
      <c r="A3">
        <v>2005</v>
      </c>
      <c r="B3">
        <v>10661</v>
      </c>
      <c r="C3">
        <f>1023+12+15+205+33+268+2545+4+130+15+3</f>
        <v>4253</v>
      </c>
      <c r="D3">
        <f>4+49</f>
        <v>53</v>
      </c>
      <c r="E3">
        <f>48+15+7+2828+2+19</f>
        <v>2919</v>
      </c>
      <c r="F3">
        <f>2090+437+7</f>
        <v>2534</v>
      </c>
      <c r="G3">
        <f>600+77+5</f>
        <v>682</v>
      </c>
      <c r="H3">
        <f>212+3+2+2+1</f>
        <v>220</v>
      </c>
      <c r="I3">
        <f>4+4+48+7+7+5+212+2+1</f>
        <v>290</v>
      </c>
      <c r="J3">
        <f>268+2545+600+130+15+2090+2</f>
        <v>5650</v>
      </c>
      <c r="K3">
        <f>12+15+3+2+3+1023</f>
        <v>1058</v>
      </c>
      <c r="L3">
        <f>205+33+49</f>
        <v>287</v>
      </c>
      <c r="M3">
        <f>10661-SUM(I3+J3+K3+L3)</f>
        <v>3376</v>
      </c>
    </row>
    <row r="4" spans="1:13" x14ac:dyDescent="0.2">
      <c r="A4">
        <v>2006</v>
      </c>
      <c r="B4">
        <v>9781</v>
      </c>
      <c r="C4">
        <f>884+12+5+32+32+6+2219+2+3</f>
        <v>3195</v>
      </c>
      <c r="D4">
        <f>4+49</f>
        <v>53</v>
      </c>
      <c r="E4">
        <f>2261+6+16+7+1800+2+35</f>
        <v>4127</v>
      </c>
      <c r="F4">
        <f>1800+376+7</f>
        <v>2183</v>
      </c>
      <c r="G4">
        <f>74+78+5</f>
        <v>157</v>
      </c>
      <c r="H4">
        <f>4+59+3</f>
        <v>66</v>
      </c>
      <c r="I4">
        <f>2+4+2261+7+7+5</f>
        <v>2286</v>
      </c>
      <c r="J4">
        <f>6+2219+74+3+1800+35</f>
        <v>4137</v>
      </c>
      <c r="K4">
        <f>884+12+5+16+4+59+3</f>
        <v>983</v>
      </c>
      <c r="L4">
        <f>32+32+49</f>
        <v>113</v>
      </c>
      <c r="M4">
        <f>9781-SUM(I4:L4)</f>
        <v>2262</v>
      </c>
    </row>
    <row r="5" spans="1:13" x14ac:dyDescent="0.2">
      <c r="A5">
        <v>2007</v>
      </c>
      <c r="B5">
        <v>8255</v>
      </c>
      <c r="C5">
        <f>329+13+40+24+3+2314+3+1</f>
        <v>2727</v>
      </c>
      <c r="D5">
        <f>4+37</f>
        <v>41</v>
      </c>
      <c r="E5">
        <f>2521+12+5+6+72</f>
        <v>2616</v>
      </c>
      <c r="F5">
        <f>2550+7</f>
        <v>2557</v>
      </c>
      <c r="G5">
        <f>220+80+5</f>
        <v>305</v>
      </c>
      <c r="H5">
        <f>2+3+1+3</f>
        <v>9</v>
      </c>
      <c r="I5">
        <f>3+4+2521+6+7+2+5</f>
        <v>2548</v>
      </c>
      <c r="J5">
        <f>3+2314+3+220+1+72+2550</f>
        <v>5163</v>
      </c>
      <c r="K5">
        <f>329+13+5+3+1+3</f>
        <v>354</v>
      </c>
      <c r="L5">
        <f>40+24+37</f>
        <v>101</v>
      </c>
      <c r="M5">
        <f>8255-SUM(I5:L5)</f>
        <v>89</v>
      </c>
    </row>
    <row r="6" spans="1:13" x14ac:dyDescent="0.2">
      <c r="A6">
        <v>2008</v>
      </c>
      <c r="B6">
        <v>7997</v>
      </c>
      <c r="C6">
        <f>286+12+43+24+2+2150+3+1</f>
        <v>2521</v>
      </c>
      <c r="D6">
        <f>4+37+36</f>
        <v>77</v>
      </c>
      <c r="E6">
        <f>2470+12+4+7+90</f>
        <v>2583</v>
      </c>
      <c r="F6">
        <f>2404+7</f>
        <v>2411</v>
      </c>
      <c r="G6">
        <f>220+78+5+92</f>
        <v>395</v>
      </c>
      <c r="H6">
        <f>2+1+5+2</f>
        <v>10</v>
      </c>
      <c r="I6">
        <f>3+4+2470+7+7+5+2</f>
        <v>2498</v>
      </c>
      <c r="J6">
        <f>2+2150+220+1+90+2404</f>
        <v>4867</v>
      </c>
      <c r="K6">
        <f>286+12+36+4+2+5+1+92</f>
        <v>438</v>
      </c>
      <c r="L6">
        <f>43+24+37</f>
        <v>104</v>
      </c>
      <c r="M6">
        <f>7997-SUM(I6:L6)</f>
        <v>90</v>
      </c>
    </row>
    <row r="7" spans="1:13" x14ac:dyDescent="0.2">
      <c r="A7">
        <v>2009</v>
      </c>
      <c r="B7">
        <v>8449</v>
      </c>
      <c r="C7">
        <f>280+13+28+2+1596+1</f>
        <v>1920</v>
      </c>
      <c r="D7">
        <f>4+36+21</f>
        <v>61</v>
      </c>
      <c r="E7">
        <f>2410+12+2+8+82</f>
        <v>2514</v>
      </c>
      <c r="F7">
        <f>3207+7</f>
        <v>3214</v>
      </c>
      <c r="G7">
        <f>220+78+5</f>
        <v>303</v>
      </c>
      <c r="H7">
        <f>432+4+1</f>
        <v>437</v>
      </c>
      <c r="I7">
        <f>4+2410+8+7+5+1</f>
        <v>2435</v>
      </c>
      <c r="J7">
        <f>1596+220+1+3207+82+2</f>
        <v>5108</v>
      </c>
      <c r="K7">
        <f>280+13+21+2+432+4</f>
        <v>752</v>
      </c>
      <c r="L7">
        <f>28+36</f>
        <v>64</v>
      </c>
      <c r="M7">
        <f>8449-SUM(I7:L7)</f>
        <v>90</v>
      </c>
    </row>
    <row r="8" spans="1:13" x14ac:dyDescent="0.2">
      <c r="A8">
        <v>2010</v>
      </c>
      <c r="B8">
        <v>7421</v>
      </c>
      <c r="C8">
        <f>5+18+650+1</f>
        <v>674</v>
      </c>
      <c r="D8">
        <f>4+25+15</f>
        <v>44</v>
      </c>
      <c r="E8">
        <f>1780+13+1+7+73+125</f>
        <v>1999</v>
      </c>
      <c r="F8">
        <f>4200+7</f>
        <v>4207</v>
      </c>
      <c r="G8">
        <f>114+78+5</f>
        <v>197</v>
      </c>
      <c r="H8">
        <f>274+19+4+3</f>
        <v>300</v>
      </c>
      <c r="I8">
        <f>4+1780+7+7+5+3</f>
        <v>1806</v>
      </c>
      <c r="J8">
        <f>650+114+1+73+4200</f>
        <v>5038</v>
      </c>
      <c r="K8">
        <f>5+15+1+274+19</f>
        <v>314</v>
      </c>
      <c r="L8">
        <f>18+25+125</f>
        <v>168</v>
      </c>
      <c r="M8">
        <f>7421-SUM(I8:L8)</f>
        <v>95</v>
      </c>
    </row>
    <row r="9" spans="1:13" x14ac:dyDescent="0.2">
      <c r="A9">
        <v>2011</v>
      </c>
      <c r="B9">
        <v>6568</v>
      </c>
      <c r="C9">
        <f>5+17+670+1</f>
        <v>693</v>
      </c>
      <c r="D9">
        <f>4+26+15</f>
        <v>45</v>
      </c>
      <c r="E9">
        <f>1100+13+1+8+93</f>
        <v>1215</v>
      </c>
      <c r="F9">
        <f>4250+4</f>
        <v>4254</v>
      </c>
      <c r="G9">
        <f>17+10+75+5</f>
        <v>107</v>
      </c>
      <c r="H9">
        <f>240+11+3</f>
        <v>254</v>
      </c>
      <c r="I9">
        <f>4+1100+8+4+5+3</f>
        <v>1124</v>
      </c>
      <c r="J9">
        <f>670+17+1+4250</f>
        <v>4938</v>
      </c>
      <c r="K9">
        <f>5+15+1+240+11+10</f>
        <v>282</v>
      </c>
      <c r="L9">
        <f>17+26+93</f>
        <v>136</v>
      </c>
      <c r="M9">
        <f>6568-SUM(I9:L9)</f>
        <v>88</v>
      </c>
    </row>
    <row r="10" spans="1:13" x14ac:dyDescent="0.2">
      <c r="A10">
        <v>2012</v>
      </c>
      <c r="B10">
        <v>6651</v>
      </c>
      <c r="C10">
        <f>5+15+848+1</f>
        <v>869</v>
      </c>
      <c r="D10">
        <f>4+25+4</f>
        <v>33</v>
      </c>
      <c r="E10">
        <f>1094+13+1+7+6+1+93</f>
        <v>1215</v>
      </c>
      <c r="F10">
        <f>4000+3</f>
        <v>4003</v>
      </c>
      <c r="G10">
        <f>60+96+1+80+6</f>
        <v>243</v>
      </c>
      <c r="H10">
        <f>261+22+2+3</f>
        <v>288</v>
      </c>
      <c r="I10">
        <f>4+1094+7+6+3+6+2+3</f>
        <v>1125</v>
      </c>
      <c r="J10">
        <f>848+60+1+4000+1</f>
        <v>4910</v>
      </c>
      <c r="K10">
        <f>5+4+1+96+261+22+1</f>
        <v>390</v>
      </c>
      <c r="L10">
        <f>15+25+93</f>
        <v>133</v>
      </c>
      <c r="M10">
        <f>6651-SUM(I10:L10)</f>
        <v>93</v>
      </c>
    </row>
    <row r="11" spans="1:13" x14ac:dyDescent="0.2">
      <c r="A11">
        <v>2013</v>
      </c>
      <c r="B11">
        <v>5291</v>
      </c>
      <c r="C11">
        <f>5+565+1</f>
        <v>571</v>
      </c>
      <c r="D11">
        <f>26+4+4</f>
        <v>34</v>
      </c>
      <c r="E11">
        <f>1100+13+1+7+1+95</f>
        <v>1217</v>
      </c>
      <c r="F11">
        <f>2900+4</f>
        <v>2904</v>
      </c>
      <c r="G11">
        <f>47+27+79+5</f>
        <v>158</v>
      </c>
      <c r="H11">
        <f>247+155+2+3</f>
        <v>407</v>
      </c>
      <c r="I11">
        <f>4+7+1100+4+5+2+3</f>
        <v>1125</v>
      </c>
      <c r="J11">
        <f>565+47+1+2900+1</f>
        <v>3514</v>
      </c>
      <c r="K11">
        <f>5+4+1+247+155+27</f>
        <v>439</v>
      </c>
      <c r="L11">
        <f>26+95</f>
        <v>121</v>
      </c>
      <c r="M11">
        <f>5291-SUM(I11:L11)</f>
        <v>92</v>
      </c>
    </row>
    <row r="12" spans="1:13" x14ac:dyDescent="0.2">
      <c r="A12">
        <v>2014</v>
      </c>
      <c r="B12">
        <v>4499</v>
      </c>
      <c r="C12">
        <f>5+555+1</f>
        <v>561</v>
      </c>
      <c r="D12">
        <f>4+26+4</f>
        <v>34</v>
      </c>
      <c r="E12">
        <f>1110+28+1+7+2+95</f>
        <v>1243</v>
      </c>
      <c r="F12">
        <f>1872+4</f>
        <v>1876</v>
      </c>
      <c r="G12">
        <f>39+27+78+5</f>
        <v>149</v>
      </c>
      <c r="H12">
        <f>335+232+2+51+16</f>
        <v>636</v>
      </c>
      <c r="I12">
        <f>4+1110+7+4+5</f>
        <v>1130</v>
      </c>
      <c r="J12">
        <f>555+39+1+1872</f>
        <v>2467</v>
      </c>
      <c r="K12">
        <f>5+1+4+335+232+27+51</f>
        <v>655</v>
      </c>
      <c r="L12">
        <f>26+2+95+2+16</f>
        <v>141</v>
      </c>
      <c r="M12">
        <f>4499-SUM(I12:L12)</f>
        <v>106</v>
      </c>
    </row>
    <row r="13" spans="1:13" x14ac:dyDescent="0.2">
      <c r="A13">
        <v>2015</v>
      </c>
      <c r="B13">
        <v>5386</v>
      </c>
      <c r="C13">
        <f>5+542</f>
        <v>547</v>
      </c>
      <c r="D13">
        <f>100+4+4</f>
        <v>108</v>
      </c>
      <c r="E13">
        <f>1125+28+1+638+101</f>
        <v>1893</v>
      </c>
      <c r="F13">
        <f>732</f>
        <v>732</v>
      </c>
      <c r="G13">
        <f>294+1026+29</f>
        <v>1349</v>
      </c>
      <c r="H13">
        <f>497+257+17+3</f>
        <v>774</v>
      </c>
      <c r="I13">
        <f>4+1125+5+3</f>
        <v>1137</v>
      </c>
      <c r="J13">
        <f>542+294+100+732</f>
        <v>1668</v>
      </c>
      <c r="K13">
        <f>1026+5+4+1+497+257+29+17</f>
        <v>1836</v>
      </c>
      <c r="L13">
        <v>101</v>
      </c>
      <c r="M13">
        <f>5386-SUM(I13:L13)</f>
        <v>644</v>
      </c>
    </row>
    <row r="14" spans="1:13" x14ac:dyDescent="0.2">
      <c r="A14">
        <v>2016</v>
      </c>
      <c r="B14">
        <v>6288</v>
      </c>
      <c r="C14">
        <f>5+542</f>
        <v>547</v>
      </c>
      <c r="D14">
        <f>4+130</f>
        <v>134</v>
      </c>
      <c r="E14">
        <f>1140+31+1+978+102</f>
        <v>2252</v>
      </c>
      <c r="F14">
        <f>950</f>
        <v>950</v>
      </c>
      <c r="G14">
        <f>75+817+753+44+300+3+31</f>
        <v>2023</v>
      </c>
      <c r="H14">
        <f>164+249</f>
        <v>413</v>
      </c>
      <c r="I14">
        <f>4+1140+3</f>
        <v>1147</v>
      </c>
      <c r="J14">
        <f>542+75+44+950+130</f>
        <v>1741</v>
      </c>
      <c r="K14">
        <f>5+817+1+164+249+31</f>
        <v>1267</v>
      </c>
      <c r="L14">
        <f>753+102+300</f>
        <v>1155</v>
      </c>
      <c r="M14">
        <f>6288-SUM(I14:L14)</f>
        <v>978</v>
      </c>
    </row>
    <row r="15" spans="1:13" x14ac:dyDescent="0.2">
      <c r="A15">
        <v>2017</v>
      </c>
      <c r="B15">
        <v>7509</v>
      </c>
      <c r="C15">
        <f>5+4+538</f>
        <v>547</v>
      </c>
      <c r="D15">
        <f>4+160+6+110+145+130</f>
        <v>555</v>
      </c>
      <c r="E15">
        <f>1100+25+16+18+1+1497+128</f>
        <v>2785</v>
      </c>
      <c r="F15">
        <f>900+2</f>
        <v>902</v>
      </c>
      <c r="G15">
        <f>287+44+585+700+300+3+50+7+12+4+2+75</f>
        <v>2069</v>
      </c>
      <c r="H15">
        <f>407+123+7+26+90</f>
        <v>653</v>
      </c>
      <c r="I15">
        <f>4+1100+2+3+7</f>
        <v>1116</v>
      </c>
      <c r="J15">
        <f>538+287+44+160+6+110+145+900+130</f>
        <v>2320</v>
      </c>
      <c r="K15">
        <f>5+4+585+1+407+123+7+12+4+2</f>
        <v>1150</v>
      </c>
      <c r="L15">
        <f>700+25+18+126+300+50</f>
        <v>1219</v>
      </c>
      <c r="M15">
        <f>7509-SUM(I15:L15)</f>
        <v>1704</v>
      </c>
    </row>
    <row r="16" spans="1:13" x14ac:dyDescent="0.2">
      <c r="A16">
        <v>2018</v>
      </c>
      <c r="B16">
        <v>7882</v>
      </c>
      <c r="C16">
        <f>5+4+538</f>
        <v>547</v>
      </c>
      <c r="D16">
        <f>4+160+130+130</f>
        <v>424</v>
      </c>
      <c r="E16">
        <f>1072+140+16+32+1+1350+12+126</f>
        <v>2749</v>
      </c>
      <c r="F16">
        <f>900+2</f>
        <v>902</v>
      </c>
      <c r="G16">
        <f>287+495+754+44+3+35+400+7+12+4+2+470+75+3+2</f>
        <v>2593</v>
      </c>
      <c r="H16">
        <f>407+123+3+53+90+3</f>
        <v>679</v>
      </c>
      <c r="I16">
        <f>4+1072+2+3+7+2</f>
        <v>1090</v>
      </c>
      <c r="J16">
        <f>538+287+44+160+130+900+130+3+12+3</f>
        <v>2207</v>
      </c>
      <c r="K16">
        <f>4+495+1+407+123+3+12+4+2+3</f>
        <v>1054</v>
      </c>
      <c r="L16">
        <f>754+140+32+126+400+53+90+470</f>
        <v>2065</v>
      </c>
      <c r="M16">
        <f>7882-SUM(I16:L16)</f>
        <v>1466</v>
      </c>
    </row>
    <row r="17" spans="1:13" x14ac:dyDescent="0.2">
      <c r="A17">
        <v>2019</v>
      </c>
      <c r="B17">
        <v>7383</v>
      </c>
      <c r="C17">
        <f>5+4+538</f>
        <v>547</v>
      </c>
      <c r="D17">
        <f>4+166+130+130</f>
        <v>430</v>
      </c>
      <c r="E17">
        <f>1076+140+16+32+1+1100+12+126</f>
        <v>2503</v>
      </c>
      <c r="F17">
        <f>800+2</f>
        <v>802</v>
      </c>
      <c r="G17">
        <f>54+520+754+259+1+25+400+7+12+4+2+290+75+15+2</f>
        <v>2420</v>
      </c>
      <c r="H17">
        <f>407+123+3+53+92+3</f>
        <v>681</v>
      </c>
      <c r="I17">
        <f>4+1076+2+1+7+2</f>
        <v>1092</v>
      </c>
      <c r="J17">
        <f>538+54+259+166+130+800+12+130</f>
        <v>2089</v>
      </c>
      <c r="K17">
        <f>5+4+520+1+407+123+3+12+4+2+3</f>
        <v>1084</v>
      </c>
      <c r="L17">
        <f>754+140+32+126+25+400+53+92+290+15</f>
        <v>1927</v>
      </c>
      <c r="M17">
        <f>7383-SUM(I17:L17)</f>
        <v>1191</v>
      </c>
    </row>
    <row r="18" spans="1:13" x14ac:dyDescent="0.2">
      <c r="A18">
        <v>2020</v>
      </c>
      <c r="B18">
        <v>8660</v>
      </c>
      <c r="C18">
        <f>40+4+628</f>
        <v>672</v>
      </c>
      <c r="D18">
        <f>4+200+135</f>
        <v>339</v>
      </c>
      <c r="E18">
        <f>1076+140+33+1+1100+46+2+136</f>
        <v>2534</v>
      </c>
      <c r="F18">
        <f>800+2</f>
        <v>802</v>
      </c>
      <c r="G18">
        <f>517+280+754+259+1+47+400+7+12+16+14+295+200+75+15+2+270</f>
        <v>3164</v>
      </c>
      <c r="H18">
        <f>407+148+15+53+117+400+6+3</f>
        <v>1149</v>
      </c>
      <c r="I18">
        <f>4+1076+2+1+7+2</f>
        <v>1092</v>
      </c>
      <c r="J18">
        <f>628+280+259+200+135+800+46+6</f>
        <v>2354</v>
      </c>
      <c r="K18">
        <f>280+517+4+40+1+2+407+148+15+12+16+14+3</f>
        <v>1459</v>
      </c>
      <c r="L18">
        <f>754+140+33+136+47+400+53+117+295+200+400+15</f>
        <v>2590</v>
      </c>
      <c r="M18">
        <f>8660-SUM(I18:L18)</f>
        <v>1165</v>
      </c>
    </row>
    <row r="19" spans="1:13" x14ac:dyDescent="0.2">
      <c r="A19">
        <v>2021</v>
      </c>
      <c r="B19">
        <f>SUM(C19:H19)</f>
        <v>9998</v>
      </c>
      <c r="C19">
        <f>4+17+1+50+638+69</f>
        <v>779</v>
      </c>
      <c r="D19">
        <f>260+5+1+238</f>
        <v>504</v>
      </c>
      <c r="E19">
        <f>193+900+280+2+1301+315+402+139+33+1+3</f>
        <v>3569</v>
      </c>
      <c r="F19">
        <f>1000+2</f>
        <v>1002</v>
      </c>
      <c r="G19">
        <f>78+15+1+3+400+49+1+1+2+7+754+235+240+596</f>
        <v>2382</v>
      </c>
      <c r="H19">
        <f>250+2+7+16+14+295+14+2+394+388+154+15+1+63+147</f>
        <v>1762</v>
      </c>
      <c r="I19">
        <f>5+1+2+7+1+1301+2</f>
        <v>1319</v>
      </c>
      <c r="J19">
        <f>235+260+240+1+638+238+1000+280+15+7</f>
        <v>2914</v>
      </c>
      <c r="K19">
        <f>596+4+17+1+50+2+1+3+193+388+154+15+2+14+16+1+3+1+1</f>
        <v>1462</v>
      </c>
      <c r="L19">
        <f>754+69+139+33+315+63+147+15+295+394+400+49+78</f>
        <v>2751</v>
      </c>
      <c r="M19">
        <f>B19-SUM(I19:L19)</f>
        <v>1552</v>
      </c>
    </row>
    <row r="20" spans="1:13" x14ac:dyDescent="0.2">
      <c r="A20">
        <v>2022</v>
      </c>
      <c r="B20">
        <v>12169</v>
      </c>
      <c r="C20">
        <f>1490+28+66+17+1+71</f>
        <v>1673</v>
      </c>
      <c r="D20">
        <f>5+5+250+300+1350</f>
        <v>1910</v>
      </c>
      <c r="E20">
        <f>1169+160+33+1+650+610+2+145+560+200+3</f>
        <v>3533</v>
      </c>
      <c r="F20">
        <v>2</v>
      </c>
      <c r="G20">
        <f>240+406+774+1+400+15+1+25+1000+638+78</f>
        <v>3578</v>
      </c>
      <c r="H20">
        <f>8+12+17+15+350+250+2+3+199+167+15+15+1+75+147+190+7</f>
        <v>1473</v>
      </c>
      <c r="I20">
        <f>5+1+1169+2+1+8+2+1</f>
        <v>1189</v>
      </c>
      <c r="J20">
        <f>1490+240+5+638+250+1000+300+1350+610+7</f>
        <v>5890</v>
      </c>
      <c r="K20">
        <f>28+66+406+2+200+3+12+17+15+3+199+167+15+15+1+17</f>
        <v>1166</v>
      </c>
      <c r="L20">
        <f>774+71+160+33+145+560+400+15+350+75+147+190+25</f>
        <v>2945</v>
      </c>
      <c r="M20">
        <f>B20-SUM(I20:L20)</f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Vignoli</dc:creator>
  <cp:lastModifiedBy>Valerio Vignoli</cp:lastModifiedBy>
  <dcterms:created xsi:type="dcterms:W3CDTF">2021-08-05T16:49:50Z</dcterms:created>
  <dcterms:modified xsi:type="dcterms:W3CDTF">2023-05-01T17:09:25Z</dcterms:modified>
</cp:coreProperties>
</file>